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8409f010654ac9e/Application Data/Documents/"/>
    </mc:Choice>
  </mc:AlternateContent>
  <xr:revisionPtr revIDLastSave="530" documentId="8_{CAC1319F-0370-469F-BD5C-B1156F9DFD0D}" xr6:coauthVersionLast="47" xr6:coauthVersionMax="47" xr10:uidLastSave="{92DA5517-F6E5-4055-98B1-4E39CFD3C630}"/>
  <bookViews>
    <workbookView xWindow="28680" yWindow="-120" windowWidth="29040" windowHeight="16440" activeTab="3" xr2:uid="{FCC4EBB9-D07F-4278-AE73-F0B6861A6ABA}"/>
  </bookViews>
  <sheets>
    <sheet name="colorado_motor_vehicle_sales " sheetId="3" r:id="rId1"/>
    <sheet name="Analysis" sheetId="4" r:id="rId2"/>
    <sheet name="Forecast sale" sheetId="6" r:id="rId3"/>
    <sheet name="Dashboard" sheetId="8" r:id="rId4"/>
  </sheets>
  <definedNames>
    <definedName name="ExternalData_1" localSheetId="0" hidden="1">'colorado_motor_vehicle_sales '!$A$1:$D$502</definedName>
    <definedName name="Slicer_county">#N/A</definedName>
    <definedName name="Slicer_Years__D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3" l="1"/>
  <c r="E502" i="3"/>
  <c r="F502" i="3"/>
  <c r="F5" i="8" a="1"/>
  <c r="F5" i="8" s="1"/>
  <c r="B5" i="8" a="1"/>
  <c r="B5" i="8" s="1"/>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6" i="6"/>
  <c r="F7" i="6"/>
  <c r="F8" i="6"/>
  <c r="F9" i="6"/>
  <c r="F10" i="6"/>
  <c r="F11" i="6"/>
  <c r="F12" i="6"/>
  <c r="F13" i="6"/>
  <c r="F14" i="6"/>
  <c r="F15" i="6"/>
  <c r="F16" i="6"/>
  <c r="F17" i="6"/>
  <c r="F18" i="6"/>
  <c r="F19" i="6"/>
  <c r="F20" i="6"/>
  <c r="F21" i="6"/>
  <c r="F22" i="6"/>
  <c r="F23" i="6"/>
  <c r="F24" i="6"/>
  <c r="F25" i="6"/>
  <c r="F26" i="6"/>
  <c r="F27" i="6"/>
  <c r="F28" i="6"/>
  <c r="F29" i="6"/>
  <c r="F30" i="6"/>
  <c r="F31" i="6"/>
  <c r="F32" i="6"/>
  <c r="F33" i="6"/>
  <c r="F6" i="6"/>
  <c r="M63" i="4"/>
  <c r="M62" i="4"/>
  <c r="M61" i="4"/>
  <c r="M60" i="4"/>
  <c r="M59" i="4"/>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E3" i="3"/>
  <c r="E4" i="3"/>
  <c r="E5" i="3"/>
  <c r="E6" i="3"/>
  <c r="E7" i="3"/>
  <c r="E8" i="3"/>
  <c r="E9"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F2" i="3"/>
  <c r="E2" i="3"/>
  <c r="C50" i="6"/>
  <c r="C43" i="6"/>
  <c r="C46" i="6"/>
  <c r="C36" i="6"/>
  <c r="C49" i="6"/>
  <c r="C57" i="6"/>
  <c r="C44" i="6"/>
  <c r="C47" i="6"/>
  <c r="C35" i="6"/>
  <c r="C45" i="6"/>
  <c r="C56" i="6"/>
  <c r="C38" i="6"/>
  <c r="C54" i="6"/>
  <c r="C52" i="6"/>
  <c r="C39" i="6"/>
  <c r="C53" i="6"/>
  <c r="C55" i="6"/>
  <c r="C41" i="6"/>
  <c r="C48" i="6"/>
  <c r="C37" i="6"/>
  <c r="C40" i="6"/>
  <c r="C51" i="6"/>
  <c r="C34" i="6"/>
  <c r="C42" i="6"/>
  <c r="E42" i="6"/>
  <c r="D53" i="6"/>
  <c r="D47" i="6"/>
  <c r="D42" i="6"/>
  <c r="E53" i="6"/>
  <c r="E47" i="6"/>
  <c r="E34" i="6"/>
  <c r="D39" i="6"/>
  <c r="D44" i="6"/>
  <c r="D34" i="6"/>
  <c r="E39" i="6"/>
  <c r="E44" i="6"/>
  <c r="E52" i="6"/>
  <c r="E57" i="6"/>
  <c r="E51" i="6"/>
  <c r="D52" i="6"/>
  <c r="D57" i="6"/>
  <c r="E40" i="6"/>
  <c r="D54" i="6"/>
  <c r="D49" i="6"/>
  <c r="D40" i="6"/>
  <c r="E54" i="6"/>
  <c r="E49" i="6"/>
  <c r="D37" i="6"/>
  <c r="E36" i="6"/>
  <c r="D38" i="6"/>
  <c r="D36" i="6"/>
  <c r="D48" i="6"/>
  <c r="E56" i="6"/>
  <c r="E48" i="6"/>
  <c r="E46" i="6"/>
  <c r="E45" i="6"/>
  <c r="D41" i="6"/>
  <c r="D43" i="6"/>
  <c r="E35" i="6"/>
  <c r="D35" i="6"/>
  <c r="D51" i="6"/>
  <c r="E37" i="6"/>
  <c r="D46" i="6"/>
  <c r="D56" i="6"/>
  <c r="E41" i="6"/>
  <c r="E43" i="6"/>
  <c r="D45" i="6"/>
  <c r="E55" i="6"/>
  <c r="E50" i="6"/>
  <c r="E38" i="6"/>
  <c r="D55" i="6"/>
  <c r="D50" i="6"/>
  <c r="F42" i="6" l="1"/>
  <c r="F51" i="6"/>
  <c r="F40" i="6"/>
  <c r="F37" i="6"/>
  <c r="F48" i="6"/>
  <c r="F41" i="6"/>
  <c r="F55" i="6"/>
  <c r="F53" i="6"/>
  <c r="F39" i="6"/>
  <c r="F52" i="6"/>
  <c r="F54" i="6"/>
  <c r="F38" i="6"/>
  <c r="F56" i="6"/>
  <c r="F45" i="6"/>
  <c r="F47" i="6"/>
  <c r="F44" i="6"/>
  <c r="F57" i="6"/>
  <c r="F49" i="6"/>
  <c r="F46" i="6"/>
  <c r="F43" i="6"/>
  <c r="F5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1B9324-B130-4A7C-9875-F6D376DA32D1}" keepAlive="1" name="Query - colorado_motor_vehicle_sales" description="Connection to the 'colorado_motor_vehicle_sales' query in the workbook." type="5" refreshedVersion="0" background="1">
    <dbPr connection="Provider=Microsoft.Mashup.OleDb.1;Data Source=$Workbook$;Location=colorado_motor_vehicle_sales;Extended Properties=&quot;&quot;" command="SELECT * FROM [colorado_motor_vehicle_sales]"/>
  </connection>
  <connection id="2" xr16:uid="{EF9DD4C7-362B-4B0E-B2DA-16D694F8E7CE}" keepAlive="1" name="Query - colorado_motor_vehicle_sales (2)" description="Connection to the 'colorado_motor_vehicle_sales (2)' query in the workbook." type="5" refreshedVersion="8" background="1" saveData="1">
    <dbPr connection="Provider=Microsoft.Mashup.OleDb.1;Data Source=$Workbook$;Location=&quot;colorado_motor_vehicle_sales (2)&quot;;Extended Properties=&quot;&quot;" command="SELECT * FROM [colorado_motor_vehicle_sale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<sst xmlns="http://schemas.openxmlformats.org/spreadsheetml/2006/main" count="581" uniqueCount="56">
  <si>
    <t>year</t>
  </si>
  <si>
    <t>quarter</t>
  </si>
  <si>
    <t>county</t>
  </si>
  <si>
    <t>sales</t>
  </si>
  <si>
    <t>Adams</t>
  </si>
  <si>
    <t>Arapahoe</t>
  </si>
  <si>
    <t>Boulder/Broomfield</t>
  </si>
  <si>
    <t>Denver</t>
  </si>
  <si>
    <t>Douglas</t>
  </si>
  <si>
    <t>El Paso</t>
  </si>
  <si>
    <t>Fremont</t>
  </si>
  <si>
    <t>Garfield</t>
  </si>
  <si>
    <t>Jefferson</t>
  </si>
  <si>
    <t>La Plata</t>
  </si>
  <si>
    <t>Larimer</t>
  </si>
  <si>
    <t>Mesa</t>
  </si>
  <si>
    <t>Pueblo</t>
  </si>
  <si>
    <t>Weld</t>
  </si>
  <si>
    <t>Boulder</t>
  </si>
  <si>
    <t>Broomfield</t>
  </si>
  <si>
    <t>Rest of State</t>
  </si>
  <si>
    <t>Date</t>
  </si>
  <si>
    <t>Period</t>
  </si>
  <si>
    <t>Row Labels</t>
  </si>
  <si>
    <t>Grand Total</t>
  </si>
  <si>
    <t>2008</t>
  </si>
  <si>
    <t>2009</t>
  </si>
  <si>
    <t>2010</t>
  </si>
  <si>
    <t>2011</t>
  </si>
  <si>
    <t>2012</t>
  </si>
  <si>
    <t>2013</t>
  </si>
  <si>
    <t>2014</t>
  </si>
  <si>
    <t>2015</t>
  </si>
  <si>
    <t>Sum of sales</t>
  </si>
  <si>
    <t>This shows the trend of total sales over years.</t>
  </si>
  <si>
    <t>Shows top-selling counties.</t>
  </si>
  <si>
    <t>Column Labels</t>
  </si>
  <si>
    <t>Sale by Quarter And Year</t>
  </si>
  <si>
    <t>Average Sale</t>
  </si>
  <si>
    <t>Median Sales</t>
  </si>
  <si>
    <t>Max Sales</t>
  </si>
  <si>
    <t>Min Sales</t>
  </si>
  <si>
    <t>Stadarded Deviation</t>
  </si>
  <si>
    <t>Column1</t>
  </si>
  <si>
    <t>Column2</t>
  </si>
  <si>
    <t>Forecast(Sum of sales)</t>
  </si>
  <si>
    <t>Lower Confidence Bound(Sum of sales)</t>
  </si>
  <si>
    <t>Upper Confidence Bound(Sum of sales)</t>
  </si>
  <si>
    <t>For forecast</t>
  </si>
  <si>
    <t>YoY Growth % (Historical)</t>
  </si>
  <si>
    <t>QoQ Growth %</t>
  </si>
  <si>
    <t>Colorado Motor Vehicle Sales Dashboard</t>
  </si>
  <si>
    <t>Latest Quarterly Sales</t>
  </si>
  <si>
    <t>Latest YoY Growth</t>
  </si>
  <si>
    <t>Next Quarter Forecast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</si>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</sst>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_ * #,##0_ ;_ * \-#,##0_ ;_ * &quot;-&quot;??_ ;_ @_ "/>
    <numFmt numFmtId="166" formatCode="\$#,##0.0,,&quot;B&quot;"/>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20"/>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5">
    <xf numFmtId="0" fontId="0" fillId="0" borderId="0" xfId="0"/>
    <xf numFmtId="0" fontId="1" fillId="0" borderId="0" xfId="0" applyFont="1"/>
    <xf numFmtId="14" fontId="0" fillId="0" borderId="0" xfId="0" applyNumberFormat="1"/>
    <xf numFmtId="0" fontId="0" fillId="0" borderId="5" xfId="0" applyBorder="1"/>
    <xf numFmtId="0" fontId="0" fillId="0" borderId="6" xfId="0" applyBorder="1"/>
    <xf numFmtId="0" fontId="0" fillId="0" borderId="5" xfId="0" pivotButton="1" applyBorder="1"/>
    <xf numFmtId="0" fontId="0" fillId="0" borderId="5" xfId="0" applyBorder="1" applyAlignment="1">
      <alignment horizontal="left"/>
    </xf>
    <xf numFmtId="0" fontId="0" fillId="0" borderId="7" xfId="0" applyBorder="1"/>
    <xf numFmtId="0" fontId="0" fillId="0" borderId="8" xfId="0" applyBorder="1"/>
    <xf numFmtId="0" fontId="0" fillId="0" borderId="9" xfId="0" applyBorder="1"/>
    <xf numFmtId="0" fontId="0" fillId="0" borderId="2" xfId="0" applyBorder="1"/>
    <xf numFmtId="0" fontId="0" fillId="0" borderId="4" xfId="0" applyBorder="1"/>
    <xf numFmtId="0" fontId="0" fillId="0" borderId="0" xfId="0" pivotButton="1"/>
    <xf numFmtId="0" fontId="0" fillId="0" borderId="10" xfId="0" applyBorder="1"/>
    <xf numFmtId="0" fontId="0" fillId="0" borderId="11" xfId="0" applyBorder="1"/>
    <xf numFmtId="0" fontId="0" fillId="0" borderId="12" xfId="0"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1" xfId="0" applyBorder="1"/>
    <xf numFmtId="11" fontId="0" fillId="0" borderId="0" xfId="0" applyNumberFormat="1"/>
    <xf numFmtId="14" fontId="0" fillId="0" borderId="5" xfId="0" applyNumberFormat="1" applyBorder="1" applyAlignment="1">
      <alignment horizontal="left"/>
    </xf>
    <xf numFmtId="9" fontId="0" fillId="0" borderId="0" xfId="2" applyFont="1"/>
    <xf numFmtId="0" fontId="0" fillId="0" borderId="0" xfId="0" applyAlignment="1">
      <alignment horizontal="left"/>
    </xf>
    <xf numFmtId="0" fontId="3" fillId="0" borderId="0" xfId="0" applyFont="1"/>
    <xf numFmtId="0" fontId="1" fillId="0" borderId="3"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0" fillId="0" borderId="0" xfId="0" applyNumberFormat="1"/>
    <xf numFmtId="0" fontId="0" fillId="2" borderId="13" xfId="0" applyFill="1" applyBorder="1" applyAlignment="1">
      <alignment horizontal="center"/>
    </xf>
    <xf numFmtId="166" fontId="4" fillId="2" borderId="14" xfId="0" applyNumberFormat="1" applyFont="1" applyFill="1" applyBorder="1" applyAlignment="1">
      <alignment horizontal="center"/>
    </xf>
    <xf numFmtId="164" fontId="4" fillId="2" borderId="14" xfId="2" applyNumberFormat="1" applyFont="1" applyFill="1" applyBorder="1" applyAlignment="1">
      <alignment horizontal="center"/>
    </xf>
    <xf numFmtId="165" fontId="4" fillId="2" borderId="14" xfId="1" applyNumberFormat="1" applyFont="1" applyFill="1" applyBorder="1" applyAlignment="1">
      <alignment horizontal="center"/>
    </xf>
  </cellXfs>
  <cellStyles count="3">
    <cellStyle name="Comma" xfId="1" builtinId="3"/>
    <cellStyle name="Normal" xfId="0" builtinId="0"/>
    <cellStyle name="Percent" xfId="2" builtinId="5"/>
  </cellStyles>
  <dxfs count="38">
    <dxf>
      <numFmt numFmtId="19" formatCode="dd/mm/yyyy"/>
    </dxf>
    <dxf>
      <numFmt numFmtId="0" formatCode="General"/>
    </dxf>
    <dxf>
      <font>
        <b val="0"/>
        <i val="0"/>
        <strike val="0"/>
        <condense val="0"/>
        <extend val="0"/>
        <outline val="0"/>
        <shadow val="0"/>
        <u val="none"/>
        <vertAlign val="baseline"/>
        <sz val="11"/>
        <color theme="1"/>
        <name val="Calibri"/>
        <family val="2"/>
        <scheme val="minor"/>
      </font>
    </dxf>
    <dxf>
      <numFmt numFmtId="15" formatCode="0.00E+00"/>
    </dxf>
    <dxf>
      <numFmt numFmtId="15" formatCode="0.00E+00"/>
    </dxf>
    <dxf>
      <numFmt numFmtId="19" formatCode="dd/mm/yyyy"/>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[colorado_motor_vehicle_sales Dashboard.xlsx]Analysis!PivotTable1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Analysis!$B$3</c:f>
              <c:strCache>
                <c:ptCount val="1"/>
                <c:pt idx="0">
                  <c:v>Total</c:v>
                </c:pt>
              </c:strCache>
            </c:strRef>
          </c:tx>
          <c:spPr>
            <a:ln w="28575" cap="rnd">
              <a:solidFill>
                <a:schemeClr val="accent1"/>
              </a:solidFill>
              <a:round/>
            </a:ln>
            <a:effectLst/>
          </c:spPr>
          <c:marker>
            <c:symbol val="none"/>
          </c:marker>
          <c:cat>
            <c:strRef>
              <c:f>Analysis!$A$4:$A$12</c:f>
              <c:strCache>
                <c:ptCount val="8"/>
                <c:pt idx="0">
                  <c:v>2008</c:v>
                </c:pt>
                <c:pt idx="1">
                  <c:v>2009</c:v>
                </c:pt>
                <c:pt idx="2">
                  <c:v>2010</c:v>
                </c:pt>
                <c:pt idx="3">
                  <c:v>2011</c:v>
                </c:pt>
                <c:pt idx="4">
                  <c:v>2012</c:v>
                </c:pt>
                <c:pt idx="5">
                  <c:v>2013</c:v>
                </c:pt>
                <c:pt idx="6">
                  <c:v>2014</c:v>
                </c:pt>
                <c:pt idx="7">
                  <c:v>2015</c:v>
                </c:pt>
              </c:strCache>
            </c:strRef>
          </c:cat>
          <c:val>
            <c:numRef>
              <c:f>Analysis!$B$4:$B$12</c:f>
              <c:numCache>
                <c:formatCode>General</c:formatCode>
                <c:ptCount val="8"/>
                <c:pt idx="0">
                  <c:v>8965561000</c:v>
                </c:pt>
                <c:pt idx="1">
                  <c:v>7652500000</c:v>
                </c:pt>
                <c:pt idx="2">
                  <c:v>8556088000</c:v>
                </c:pt>
                <c:pt idx="3">
                  <c:v>12170441000</c:v>
                </c:pt>
                <c:pt idx="4">
                  <c:v>10960876000</c:v>
                </c:pt>
                <c:pt idx="5">
                  <c:v>12000615000</c:v>
                </c:pt>
                <c:pt idx="6">
                  <c:v>13392487000</c:v>
                </c:pt>
                <c:pt idx="7">
                  <c:v>14506732000</c:v>
                </c:pt>
              </c:numCache>
            </c:numRef>
          </c:val>
          <c:smooth val="0"/>
          <c:extLst>
            <c:ext xmlns:c16="http://schemas.microsoft.com/office/drawing/2014/chart" uri="{C3380CC4-5D6E-409C-BE32-E72D297353CC}">
              <c16:uniqueId val="{00000000-B757-4C92-8DE1-F63D45E0E9B7}"/>
            </c:ext>
          </c:extLst>
        </c:ser>
        <c:dLbls>
          <c:showLegendKey val="0"/>
          <c:showVal val="0"/>
          <c:showCatName val="0"/>
          <c:showSerName val="0"/>
          <c:showPercent val="0"/>
          <c:showBubbleSize val="0"/>
        </c:dLbls>
        <c:smooth val="0"/>
        <c:axId val="365703903"/>
        <c:axId val="365698623"/>
      </c:lineChart>
      <c:catAx>
        <c:axId val="3657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98623"/>
        <c:crosses val="autoZero"/>
        <c:auto val="1"/>
        <c:lblAlgn val="ctr"/>
        <c:lblOffset val="100"/>
        <c:noMultiLvlLbl val="0"/>
      </c:catAx>
      <c:valAx>
        <c:axId val="36569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0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[colorado_motor_vehicle_sales Dashboard.xlsx]Analysis!PivotTable2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Analysis!$B$28</c:f>
              <c:strCache>
                <c:ptCount val="1"/>
                <c:pt idx="0">
                  <c:v>Total</c:v>
                </c:pt>
              </c:strCache>
            </c:strRef>
          </c:tx>
          <c:spPr>
            <a:solidFill>
              <a:schemeClr val="accent1"/>
            </a:solidFill>
            <a:ln>
              <a:noFill/>
            </a:ln>
            <a:effectLst/>
          </c:spPr>
          <c:invertIfNegative val="0"/>
          <c:cat>
            <c:strRef>
              <c:f>Analysis!$A$29:$A$46</c:f>
              <c:strCache>
                <c:ptCount val="17"/>
                <c:pt idx="0">
                  <c:v>Adams</c:v>
                </c:pt>
                <c:pt idx="1">
                  <c:v>Arapahoe</c:v>
                </c:pt>
                <c:pt idx="2">
                  <c:v>Boulder</c:v>
                </c:pt>
                <c:pt idx="3">
                  <c:v>Boulder/Broomfield</c:v>
                </c:pt>
                <c:pt idx="4">
                  <c:v>Broomfield</c:v>
                </c:pt>
                <c:pt idx="5">
                  <c:v>Denver</c:v>
                </c:pt>
                <c:pt idx="6">
                  <c:v>Douglas</c:v>
                </c:pt>
                <c:pt idx="7">
                  <c:v>El Paso</c:v>
                </c:pt>
                <c:pt idx="8">
                  <c:v>Fremont</c:v>
                </c:pt>
                <c:pt idx="9">
                  <c:v>Garfield</c:v>
                </c:pt>
                <c:pt idx="10">
                  <c:v>Jefferson</c:v>
                </c:pt>
                <c:pt idx="11">
                  <c:v>La Plata</c:v>
                </c:pt>
                <c:pt idx="12">
                  <c:v>Larimer</c:v>
                </c:pt>
                <c:pt idx="13">
                  <c:v>Mesa</c:v>
                </c:pt>
                <c:pt idx="14">
                  <c:v>Pueblo</c:v>
                </c:pt>
                <c:pt idx="15">
                  <c:v>Rest of State</c:v>
                </c:pt>
                <c:pt idx="16">
                  <c:v>Weld</c:v>
                </c:pt>
              </c:strCache>
            </c:strRef>
          </c:cat>
          <c:val>
            <c:numRef>
              <c:f>Analysis!$B$29:$B$46</c:f>
              <c:numCache>
                <c:formatCode>General</c:formatCode>
                <c:ptCount val="17"/>
                <c:pt idx="0">
                  <c:v>8902115000</c:v>
                </c:pt>
                <c:pt idx="1">
                  <c:v>20142323000</c:v>
                </c:pt>
                <c:pt idx="2">
                  <c:v>4742532000</c:v>
                </c:pt>
                <c:pt idx="3">
                  <c:v>677201000</c:v>
                </c:pt>
                <c:pt idx="4">
                  <c:v>1027326000</c:v>
                </c:pt>
                <c:pt idx="5">
                  <c:v>6763613000</c:v>
                </c:pt>
                <c:pt idx="6">
                  <c:v>3236493000</c:v>
                </c:pt>
                <c:pt idx="7">
                  <c:v>11926044000</c:v>
                </c:pt>
                <c:pt idx="8">
                  <c:v>316939000</c:v>
                </c:pt>
                <c:pt idx="9">
                  <c:v>1600594000</c:v>
                </c:pt>
                <c:pt idx="10">
                  <c:v>9058407000</c:v>
                </c:pt>
                <c:pt idx="11">
                  <c:v>792807000</c:v>
                </c:pt>
                <c:pt idx="12">
                  <c:v>5344367000</c:v>
                </c:pt>
                <c:pt idx="13">
                  <c:v>2621436000</c:v>
                </c:pt>
                <c:pt idx="14">
                  <c:v>2384044000</c:v>
                </c:pt>
                <c:pt idx="15">
                  <c:v>3582170000</c:v>
                </c:pt>
                <c:pt idx="16">
                  <c:v>5086889000</c:v>
                </c:pt>
              </c:numCache>
            </c:numRef>
          </c:val>
          <c:extLst>
            <c:ext xmlns:c16="http://schemas.microsoft.com/office/drawing/2014/chart" uri="{C3380CC4-5D6E-409C-BE32-E72D297353CC}">
              <c16:uniqueId val="{00000000-B14D-4F51-A05B-D504E5D05FC4}"/>
            </c:ext>
          </c:extLst>
        </c:ser>
        <c:dLbls>
          <c:showLegendKey val="0"/>
          <c:showVal val="0"/>
          <c:showCatName val="0"/>
          <c:showSerName val="0"/>
          <c:showPercent val="0"/>
          <c:showBubbleSize val="0"/>
        </c:dLbls>
        <c:gapWidth val="182"/>
        <c:axId val="365688543"/>
        <c:axId val="365694303"/>
      </c:barChart>
      <c:catAx>
        <c:axId val="36568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94303"/>
        <c:crosses val="autoZero"/>
        <c:auto val="1"/>
        <c:lblAlgn val="ctr"/>
        <c:lblOffset val="100"/>
        <c:noMultiLvlLbl val="0"/>
      </c:catAx>
      <c:valAx>
        <c:axId val="365694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8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sale'!$B$1</c:f>
              <c:strCache>
                <c:ptCount val="1"/>
                <c:pt idx="0">
                  <c:v>Sum of sales</c:v>
                </c:pt>
              </c:strCache>
            </c:strRef>
          </c:tx>
          <c:spPr>
            <a:ln w="28575" cap="rnd">
              <a:solidFill>
                <a:schemeClr val="accent1"/>
              </a:solidFill>
              <a:round/>
            </a:ln>
            <a:effectLst/>
          </c:spPr>
          <c:marker>
            <c:symbol val="none"/>
          </c:marker>
          <c:val>
            <c:numRef>
              <c:f>'Forecast sale'!$B$2:$B$57</c:f>
              <c:numCache>
                <c:formatCode>General</c:formatCode>
                <c:ptCount val="56"/>
                <c:pt idx="0">
                  <c:v>2407552000</c:v>
                </c:pt>
                <c:pt idx="1">
                  <c:v>2427936000</c:v>
                </c:pt>
                <c:pt idx="2">
                  <c:v>2300541000</c:v>
                </c:pt>
                <c:pt idx="3">
                  <c:v>1829532000</c:v>
                </c:pt>
                <c:pt idx="4">
                  <c:v>1657155000</c:v>
                </c:pt>
                <c:pt idx="5">
                  <c:v>1826950000</c:v>
                </c:pt>
                <c:pt idx="6">
                  <c:v>2223123000</c:v>
                </c:pt>
                <c:pt idx="7">
                  <c:v>1945272000</c:v>
                </c:pt>
                <c:pt idx="8">
                  <c:v>1904579000</c:v>
                </c:pt>
                <c:pt idx="9">
                  <c:v>2111542000</c:v>
                </c:pt>
                <c:pt idx="10">
                  <c:v>2311231000</c:v>
                </c:pt>
                <c:pt idx="11">
                  <c:v>2228736000</c:v>
                </c:pt>
                <c:pt idx="12">
                  <c:v>2957148000</c:v>
                </c:pt>
                <c:pt idx="13">
                  <c:v>3241654000</c:v>
                </c:pt>
                <c:pt idx="14">
                  <c:v>3470846000</c:v>
                </c:pt>
                <c:pt idx="15">
                  <c:v>2500793000</c:v>
                </c:pt>
                <c:pt idx="16">
                  <c:v>2547108000</c:v>
                </c:pt>
                <c:pt idx="17">
                  <c:v>2738843000</c:v>
                </c:pt>
                <c:pt idx="18">
                  <c:v>2885037000</c:v>
                </c:pt>
                <c:pt idx="19">
                  <c:v>2789888000</c:v>
                </c:pt>
                <c:pt idx="20">
                  <c:v>2675387000</c:v>
                </c:pt>
                <c:pt idx="21">
                  <c:v>3022493000</c:v>
                </c:pt>
                <c:pt idx="22">
                  <c:v>3183370000</c:v>
                </c:pt>
                <c:pt idx="23">
                  <c:v>3119365000</c:v>
                </c:pt>
                <c:pt idx="24">
                  <c:v>2936644000</c:v>
                </c:pt>
                <c:pt idx="25">
                  <c:v>3331042000</c:v>
                </c:pt>
                <c:pt idx="26">
                  <c:v>3624346000</c:v>
                </c:pt>
                <c:pt idx="27">
                  <c:v>3500455000</c:v>
                </c:pt>
                <c:pt idx="28">
                  <c:v>3291273000</c:v>
                </c:pt>
                <c:pt idx="29">
                  <c:v>3642834000</c:v>
                </c:pt>
                <c:pt idx="30">
                  <c:v>3916440000</c:v>
                </c:pt>
                <c:pt idx="31">
                  <c:v>3656185000</c:v>
                </c:pt>
              </c:numCache>
            </c:numRef>
          </c:val>
          <c:smooth val="0"/>
          <c:extLst>
            <c:ext xmlns:c16="http://schemas.microsoft.com/office/drawing/2014/chart" uri="{C3380CC4-5D6E-409C-BE32-E72D297353CC}">
              <c16:uniqueId val="{00000000-DF0B-41AA-90C1-33EE9F9DCC76}"/>
            </c:ext>
          </c:extLst>
        </c:ser>
        <c:ser>
          <c:idx val="1"/>
          <c:order val="1"/>
          <c:tx>
            <c:strRef>
              <c:f>'Forecast sale'!$C$1</c:f>
              <c:strCache>
                <c:ptCount val="1"/>
                <c:pt idx="0">
                  <c:v>Forecast(Sum of sales)</c:v>
                </c:pt>
              </c:strCache>
            </c:strRef>
          </c:tx>
          <c:spPr>
            <a:ln w="25400" cap="rnd">
              <a:solidFill>
                <a:schemeClr val="accent2"/>
              </a:solidFill>
              <a:round/>
            </a:ln>
            <a:effectLst/>
          </c:spPr>
          <c:marker>
            <c:symbol val="none"/>
          </c:marker>
          <c:cat>
            <c:numRef>
              <c:f>'Forecast sale'!$A$2:$A$57</c:f>
              <c:numCache>
                <c:formatCode>m/d/yyyy</c:formatCode>
                <c:ptCount val="56"/>
                <c:pt idx="0">
                  <c:v>39448</c:v>
                </c:pt>
                <c:pt idx="1">
                  <c:v>39539</c:v>
                </c:pt>
                <c:pt idx="2">
                  <c:v>39630</c:v>
                </c:pt>
                <c:pt idx="3">
                  <c:v>39722</c:v>
                </c:pt>
                <c:pt idx="4">
                  <c:v>39814</c:v>
                </c:pt>
                <c:pt idx="5">
                  <c:v>39904</c:v>
                </c:pt>
                <c:pt idx="6">
                  <c:v>39995</c:v>
                </c:pt>
                <c:pt idx="7">
                  <c:v>40087</c:v>
                </c:pt>
                <c:pt idx="8">
                  <c:v>40179</c:v>
                </c:pt>
                <c:pt idx="9">
                  <c:v>40269</c:v>
                </c:pt>
                <c:pt idx="10">
                  <c:v>40360</c:v>
                </c:pt>
                <c:pt idx="11">
                  <c:v>40452</c:v>
                </c:pt>
                <c:pt idx="12">
                  <c:v>40544</c:v>
                </c:pt>
                <c:pt idx="13">
                  <c:v>40634</c:v>
                </c:pt>
                <c:pt idx="14">
                  <c:v>40725</c:v>
                </c:pt>
                <c:pt idx="15">
                  <c:v>40817</c:v>
                </c:pt>
                <c:pt idx="16">
                  <c:v>40909</c:v>
                </c:pt>
                <c:pt idx="17">
                  <c:v>41000</c:v>
                </c:pt>
                <c:pt idx="18">
                  <c:v>41091</c:v>
                </c:pt>
                <c:pt idx="19">
                  <c:v>41183</c:v>
                </c:pt>
                <c:pt idx="20">
                  <c:v>41275</c:v>
                </c:pt>
                <c:pt idx="21">
                  <c:v>41365</c:v>
                </c:pt>
                <c:pt idx="22">
                  <c:v>41456</c:v>
                </c:pt>
                <c:pt idx="23">
                  <c:v>41548</c:v>
                </c:pt>
                <c:pt idx="24">
                  <c:v>41640</c:v>
                </c:pt>
                <c:pt idx="25">
                  <c:v>41730</c:v>
                </c:pt>
                <c:pt idx="26">
                  <c:v>41821</c:v>
                </c:pt>
                <c:pt idx="27">
                  <c:v>41913</c:v>
                </c:pt>
                <c:pt idx="28">
                  <c:v>42005</c:v>
                </c:pt>
                <c:pt idx="29">
                  <c:v>42095</c:v>
                </c:pt>
                <c:pt idx="30">
                  <c:v>42186</c:v>
                </c:pt>
                <c:pt idx="31">
                  <c:v>42278</c:v>
                </c:pt>
                <c:pt idx="32">
                  <c:v>42370</c:v>
                </c:pt>
                <c:pt idx="33">
                  <c:v>42461</c:v>
                </c:pt>
                <c:pt idx="34">
                  <c:v>42552</c:v>
                </c:pt>
                <c:pt idx="35">
                  <c:v>42644</c:v>
                </c:pt>
                <c:pt idx="36">
                  <c:v>42736</c:v>
                </c:pt>
                <c:pt idx="37">
                  <c:v>42826</c:v>
                </c:pt>
                <c:pt idx="38">
                  <c:v>42917</c:v>
                </c:pt>
                <c:pt idx="39">
                  <c:v>43009</c:v>
                </c:pt>
                <c:pt idx="40">
                  <c:v>43101</c:v>
                </c:pt>
                <c:pt idx="41">
                  <c:v>43191</c:v>
                </c:pt>
                <c:pt idx="42">
                  <c:v>43282</c:v>
                </c:pt>
                <c:pt idx="43">
                  <c:v>43374</c:v>
                </c:pt>
                <c:pt idx="44">
                  <c:v>43466</c:v>
                </c:pt>
                <c:pt idx="45">
                  <c:v>43556</c:v>
                </c:pt>
                <c:pt idx="46">
                  <c:v>43647</c:v>
                </c:pt>
                <c:pt idx="47">
                  <c:v>43739</c:v>
                </c:pt>
                <c:pt idx="48">
                  <c:v>43831</c:v>
                </c:pt>
                <c:pt idx="49">
                  <c:v>43922</c:v>
                </c:pt>
                <c:pt idx="50">
                  <c:v>44013</c:v>
                </c:pt>
                <c:pt idx="51">
                  <c:v>44105</c:v>
                </c:pt>
                <c:pt idx="52">
                  <c:v>44197</c:v>
                </c:pt>
                <c:pt idx="53">
                  <c:v>44287</c:v>
                </c:pt>
                <c:pt idx="54">
                  <c:v>44378</c:v>
                </c:pt>
                <c:pt idx="55">
                  <c:v>44470</c:v>
                </c:pt>
              </c:numCache>
            </c:numRef>
          </c:cat>
          <c:val>
            <c:numRef>
              <c:f>'Forecast sale'!$C$2:$C$57</c:f>
              <c:numCache>
                <c:formatCode>General</c:formatCode>
                <c:ptCount val="56"/>
                <c:pt idx="31">
                  <c:v>3656185000</c:v>
                </c:pt>
                <c:pt idx="32">
                  <c:v>3409979486.7426648</c:v>
                </c:pt>
                <c:pt idx="33">
                  <c:v>3680076520.941958</c:v>
                </c:pt>
                <c:pt idx="34">
                  <c:v>3858731335.5553613</c:v>
                </c:pt>
                <c:pt idx="35">
                  <c:v>3712057900.0079103</c:v>
                </c:pt>
                <c:pt idx="36">
                  <c:v>4430192492.3783293</c:v>
                </c:pt>
                <c:pt idx="37">
                  <c:v>4704570531.4844189</c:v>
                </c:pt>
                <c:pt idx="38">
                  <c:v>4931672763.5122519</c:v>
                </c:pt>
                <c:pt idx="39">
                  <c:v>3961189935.058382</c:v>
                </c:pt>
                <c:pt idx="40">
                  <c:v>4005070712.854866</c:v>
                </c:pt>
                <c:pt idx="41">
                  <c:v>4100593210.2384176</c:v>
                </c:pt>
                <c:pt idx="42">
                  <c:v>4385981240.3171844</c:v>
                </c:pt>
                <c:pt idx="43">
                  <c:v>4211338130.2113428</c:v>
                </c:pt>
                <c:pt idx="44">
                  <c:v>4144189706.205615</c:v>
                </c:pt>
                <c:pt idx="45">
                  <c:v>4414286740.4049072</c:v>
                </c:pt>
                <c:pt idx="46">
                  <c:v>4592941555.0183115</c:v>
                </c:pt>
                <c:pt idx="47">
                  <c:v>4446268119.4708605</c:v>
                </c:pt>
                <c:pt idx="48">
                  <c:v>5164402711.841279</c:v>
                </c:pt>
                <c:pt idx="49">
                  <c:v>5438780750.9473696</c:v>
                </c:pt>
                <c:pt idx="50">
                  <c:v>5665882982.9752016</c:v>
                </c:pt>
                <c:pt idx="51">
                  <c:v>4695400154.5213318</c:v>
                </c:pt>
                <c:pt idx="52">
                  <c:v>4739280932.3178167</c:v>
                </c:pt>
                <c:pt idx="53">
                  <c:v>4834803429.7013674</c:v>
                </c:pt>
                <c:pt idx="54">
                  <c:v>5120191459.7801342</c:v>
                </c:pt>
                <c:pt idx="55">
                  <c:v>4945548349.6742926</c:v>
                </c:pt>
              </c:numCache>
            </c:numRef>
          </c:val>
          <c:smooth val="0"/>
          <c:extLst>
            <c:ext xmlns:c16="http://schemas.microsoft.com/office/drawing/2014/chart" uri="{C3380CC4-5D6E-409C-BE32-E72D297353CC}">
              <c16:uniqueId val="{00000001-DF0B-41AA-90C1-33EE9F9DCC76}"/>
            </c:ext>
          </c:extLst>
        </c:ser>
        <c:ser>
          <c:idx val="2"/>
          <c:order val="2"/>
          <c:tx>
            <c:strRef>
              <c:f>'Forecast sale'!$D$1</c:f>
              <c:strCache>
                <c:ptCount val="1"/>
                <c:pt idx="0">
                  <c:v>Lower Confidence Bound(Sum of sales)</c:v>
                </c:pt>
              </c:strCache>
            </c:strRef>
          </c:tx>
          <c:spPr>
            <a:ln w="12700" cap="rnd">
              <a:solidFill>
                <a:srgbClr val="ED7D31"/>
              </a:solidFill>
              <a:prstDash val="solid"/>
              <a:round/>
            </a:ln>
            <a:effectLst/>
          </c:spPr>
          <c:marker>
            <c:symbol val="none"/>
          </c:marker>
          <c:cat>
            <c:numRef>
              <c:f>'Forecast sale'!$A$2:$A$57</c:f>
              <c:numCache>
                <c:formatCode>m/d/yyyy</c:formatCode>
                <c:ptCount val="56"/>
                <c:pt idx="0">
                  <c:v>39448</c:v>
                </c:pt>
                <c:pt idx="1">
                  <c:v>39539</c:v>
                </c:pt>
                <c:pt idx="2">
                  <c:v>39630</c:v>
                </c:pt>
                <c:pt idx="3">
                  <c:v>39722</c:v>
                </c:pt>
                <c:pt idx="4">
                  <c:v>39814</c:v>
                </c:pt>
                <c:pt idx="5">
                  <c:v>39904</c:v>
                </c:pt>
                <c:pt idx="6">
                  <c:v>39995</c:v>
                </c:pt>
                <c:pt idx="7">
                  <c:v>40087</c:v>
                </c:pt>
                <c:pt idx="8">
                  <c:v>40179</c:v>
                </c:pt>
                <c:pt idx="9">
                  <c:v>40269</c:v>
                </c:pt>
                <c:pt idx="10">
                  <c:v>40360</c:v>
                </c:pt>
                <c:pt idx="11">
                  <c:v>40452</c:v>
                </c:pt>
                <c:pt idx="12">
                  <c:v>40544</c:v>
                </c:pt>
                <c:pt idx="13">
                  <c:v>40634</c:v>
                </c:pt>
                <c:pt idx="14">
                  <c:v>40725</c:v>
                </c:pt>
                <c:pt idx="15">
                  <c:v>40817</c:v>
                </c:pt>
                <c:pt idx="16">
                  <c:v>40909</c:v>
                </c:pt>
                <c:pt idx="17">
                  <c:v>41000</c:v>
                </c:pt>
                <c:pt idx="18">
                  <c:v>41091</c:v>
                </c:pt>
                <c:pt idx="19">
                  <c:v>41183</c:v>
                </c:pt>
                <c:pt idx="20">
                  <c:v>41275</c:v>
                </c:pt>
                <c:pt idx="21">
                  <c:v>41365</c:v>
                </c:pt>
                <c:pt idx="22">
                  <c:v>41456</c:v>
                </c:pt>
                <c:pt idx="23">
                  <c:v>41548</c:v>
                </c:pt>
                <c:pt idx="24">
                  <c:v>41640</c:v>
                </c:pt>
                <c:pt idx="25">
                  <c:v>41730</c:v>
                </c:pt>
                <c:pt idx="26">
                  <c:v>41821</c:v>
                </c:pt>
                <c:pt idx="27">
                  <c:v>41913</c:v>
                </c:pt>
                <c:pt idx="28">
                  <c:v>42005</c:v>
                </c:pt>
                <c:pt idx="29">
                  <c:v>42095</c:v>
                </c:pt>
                <c:pt idx="30">
                  <c:v>42186</c:v>
                </c:pt>
                <c:pt idx="31">
                  <c:v>42278</c:v>
                </c:pt>
                <c:pt idx="32">
                  <c:v>42370</c:v>
                </c:pt>
                <c:pt idx="33">
                  <c:v>42461</c:v>
                </c:pt>
                <c:pt idx="34">
                  <c:v>42552</c:v>
                </c:pt>
                <c:pt idx="35">
                  <c:v>42644</c:v>
                </c:pt>
                <c:pt idx="36">
                  <c:v>42736</c:v>
                </c:pt>
                <c:pt idx="37">
                  <c:v>42826</c:v>
                </c:pt>
                <c:pt idx="38">
                  <c:v>42917</c:v>
                </c:pt>
                <c:pt idx="39">
                  <c:v>43009</c:v>
                </c:pt>
                <c:pt idx="40">
                  <c:v>43101</c:v>
                </c:pt>
                <c:pt idx="41">
                  <c:v>43191</c:v>
                </c:pt>
                <c:pt idx="42">
                  <c:v>43282</c:v>
                </c:pt>
                <c:pt idx="43">
                  <c:v>43374</c:v>
                </c:pt>
                <c:pt idx="44">
                  <c:v>43466</c:v>
                </c:pt>
                <c:pt idx="45">
                  <c:v>43556</c:v>
                </c:pt>
                <c:pt idx="46">
                  <c:v>43647</c:v>
                </c:pt>
                <c:pt idx="47">
                  <c:v>43739</c:v>
                </c:pt>
                <c:pt idx="48">
                  <c:v>43831</c:v>
                </c:pt>
                <c:pt idx="49">
                  <c:v>43922</c:v>
                </c:pt>
                <c:pt idx="50">
                  <c:v>44013</c:v>
                </c:pt>
                <c:pt idx="51">
                  <c:v>44105</c:v>
                </c:pt>
                <c:pt idx="52">
                  <c:v>44197</c:v>
                </c:pt>
                <c:pt idx="53">
                  <c:v>44287</c:v>
                </c:pt>
                <c:pt idx="54">
                  <c:v>44378</c:v>
                </c:pt>
                <c:pt idx="55">
                  <c:v>44470</c:v>
                </c:pt>
              </c:numCache>
            </c:numRef>
          </c:cat>
          <c:val>
            <c:numRef>
              <c:f>'Forecast sale'!$D$2:$D$57</c:f>
              <c:numCache>
                <c:formatCode>General</c:formatCode>
                <c:ptCount val="56"/>
                <c:pt idx="31" formatCode="0.00E+00">
                  <c:v>3656185000</c:v>
                </c:pt>
                <c:pt idx="32" formatCode="0.00E+00">
                  <c:v>2890637436.0980444</c:v>
                </c:pt>
                <c:pt idx="33" formatCode="0.00E+00">
                  <c:v>3156562989.5005999</c:v>
                </c:pt>
                <c:pt idx="34" formatCode="0.00E+00">
                  <c:v>3331014131.686789</c:v>
                </c:pt>
                <c:pt idx="35" formatCode="0.00E+00">
                  <c:v>3180105088.2190475</c:v>
                </c:pt>
                <c:pt idx="36" formatCode="0.00E+00">
                  <c:v>3893972390.9571195</c:v>
                </c:pt>
                <c:pt idx="37" formatCode="0.00E+00">
                  <c:v>4164051710.086421</c:v>
                </c:pt>
                <c:pt idx="38" formatCode="0.00E+00">
                  <c:v>4386824040.6961536</c:v>
                </c:pt>
                <c:pt idx="39" formatCode="0.00E+00">
                  <c:v>3411980375.7760792</c:v>
                </c:pt>
                <c:pt idx="40" formatCode="0.00E+00">
                  <c:v>3451469625.9014568</c:v>
                </c:pt>
                <c:pt idx="41" formatCode="0.00E+00">
                  <c:v>3542570145.6671863</c:v>
                </c:pt>
                <c:pt idx="42" formatCode="0.00E+00">
                  <c:v>3823505986.8243666</c:v>
                </c:pt>
                <c:pt idx="43" formatCode="0.00E+00">
                  <c:v>3644380712.4952049</c:v>
                </c:pt>
                <c:pt idx="44" formatCode="0.00E+00">
                  <c:v>3572655018.248457</c:v>
                </c:pt>
                <c:pt idx="45" formatCode="0.00E+00">
                  <c:v>3838211150.2492223</c:v>
                </c:pt>
                <c:pt idx="46" formatCode="0.00E+00">
                  <c:v>4012295774.5132356</c:v>
                </c:pt>
                <c:pt idx="47" formatCode="0.00E+00">
                  <c:v>3861023085.7405424</c:v>
                </c:pt>
                <c:pt idx="48" formatCode="0.00E+00">
                  <c:v>4574529584.5770264</c:v>
                </c:pt>
                <c:pt idx="49" formatCode="0.00E+00">
                  <c:v>4844250909.696146</c:v>
                </c:pt>
                <c:pt idx="50" formatCode="0.00E+00">
                  <c:v>5066668024.4274216</c:v>
                </c:pt>
                <c:pt idx="51" formatCode="0.00E+00">
                  <c:v>4091471889.8006945</c:v>
                </c:pt>
                <c:pt idx="52" formatCode="0.00E+00">
                  <c:v>4130611384.2757592</c:v>
                </c:pt>
                <c:pt idx="53" formatCode="0.00E+00">
                  <c:v>4221364830.2185211</c:v>
                </c:pt>
                <c:pt idx="54" formatCode="0.00E+00">
                  <c:v>4501956247.077014</c:v>
                </c:pt>
                <c:pt idx="55" formatCode="0.00E+00">
                  <c:v>4322489165.6332884</c:v>
                </c:pt>
              </c:numCache>
            </c:numRef>
          </c:val>
          <c:smooth val="0"/>
          <c:extLst>
            <c:ext xmlns:c16="http://schemas.microsoft.com/office/drawing/2014/chart" uri="{C3380CC4-5D6E-409C-BE32-E72D297353CC}">
              <c16:uniqueId val="{00000002-DF0B-41AA-90C1-33EE9F9DCC76}"/>
            </c:ext>
          </c:extLst>
        </c:ser>
        <c:ser>
          <c:idx val="3"/>
          <c:order val="3"/>
          <c:tx>
            <c:strRef>
              <c:f>'Forecast sale'!$E$1</c:f>
              <c:strCache>
                <c:ptCount val="1"/>
                <c:pt idx="0">
                  <c:v>Upper Confidence Bound(Sum of sales)</c:v>
                </c:pt>
              </c:strCache>
            </c:strRef>
          </c:tx>
          <c:spPr>
            <a:ln w="12700" cap="rnd">
              <a:solidFill>
                <a:srgbClr val="ED7D31"/>
              </a:solidFill>
              <a:prstDash val="solid"/>
              <a:round/>
            </a:ln>
            <a:effectLst/>
          </c:spPr>
          <c:marker>
            <c:symbol val="none"/>
          </c:marker>
          <c:cat>
            <c:numRef>
              <c:f>'Forecast sale'!$A$2:$A$57</c:f>
              <c:numCache>
                <c:formatCode>m/d/yyyy</c:formatCode>
                <c:ptCount val="56"/>
                <c:pt idx="0">
                  <c:v>39448</c:v>
                </c:pt>
                <c:pt idx="1">
                  <c:v>39539</c:v>
                </c:pt>
                <c:pt idx="2">
                  <c:v>39630</c:v>
                </c:pt>
                <c:pt idx="3">
                  <c:v>39722</c:v>
                </c:pt>
                <c:pt idx="4">
                  <c:v>39814</c:v>
                </c:pt>
                <c:pt idx="5">
                  <c:v>39904</c:v>
                </c:pt>
                <c:pt idx="6">
                  <c:v>39995</c:v>
                </c:pt>
                <c:pt idx="7">
                  <c:v>40087</c:v>
                </c:pt>
                <c:pt idx="8">
                  <c:v>40179</c:v>
                </c:pt>
                <c:pt idx="9">
                  <c:v>40269</c:v>
                </c:pt>
                <c:pt idx="10">
                  <c:v>40360</c:v>
                </c:pt>
                <c:pt idx="11">
                  <c:v>40452</c:v>
                </c:pt>
                <c:pt idx="12">
                  <c:v>40544</c:v>
                </c:pt>
                <c:pt idx="13">
                  <c:v>40634</c:v>
                </c:pt>
                <c:pt idx="14">
                  <c:v>40725</c:v>
                </c:pt>
                <c:pt idx="15">
                  <c:v>40817</c:v>
                </c:pt>
                <c:pt idx="16">
                  <c:v>40909</c:v>
                </c:pt>
                <c:pt idx="17">
                  <c:v>41000</c:v>
                </c:pt>
                <c:pt idx="18">
                  <c:v>41091</c:v>
                </c:pt>
                <c:pt idx="19">
                  <c:v>41183</c:v>
                </c:pt>
                <c:pt idx="20">
                  <c:v>41275</c:v>
                </c:pt>
                <c:pt idx="21">
                  <c:v>41365</c:v>
                </c:pt>
                <c:pt idx="22">
                  <c:v>41456</c:v>
                </c:pt>
                <c:pt idx="23">
                  <c:v>41548</c:v>
                </c:pt>
                <c:pt idx="24">
                  <c:v>41640</c:v>
                </c:pt>
                <c:pt idx="25">
                  <c:v>41730</c:v>
                </c:pt>
                <c:pt idx="26">
                  <c:v>41821</c:v>
                </c:pt>
                <c:pt idx="27">
                  <c:v>41913</c:v>
                </c:pt>
                <c:pt idx="28">
                  <c:v>42005</c:v>
                </c:pt>
                <c:pt idx="29">
                  <c:v>42095</c:v>
                </c:pt>
                <c:pt idx="30">
                  <c:v>42186</c:v>
                </c:pt>
                <c:pt idx="31">
                  <c:v>42278</c:v>
                </c:pt>
                <c:pt idx="32">
                  <c:v>42370</c:v>
                </c:pt>
                <c:pt idx="33">
                  <c:v>42461</c:v>
                </c:pt>
                <c:pt idx="34">
                  <c:v>42552</c:v>
                </c:pt>
                <c:pt idx="35">
                  <c:v>42644</c:v>
                </c:pt>
                <c:pt idx="36">
                  <c:v>42736</c:v>
                </c:pt>
                <c:pt idx="37">
                  <c:v>42826</c:v>
                </c:pt>
                <c:pt idx="38">
                  <c:v>42917</c:v>
                </c:pt>
                <c:pt idx="39">
                  <c:v>43009</c:v>
                </c:pt>
                <c:pt idx="40">
                  <c:v>43101</c:v>
                </c:pt>
                <c:pt idx="41">
                  <c:v>43191</c:v>
                </c:pt>
                <c:pt idx="42">
                  <c:v>43282</c:v>
                </c:pt>
                <c:pt idx="43">
                  <c:v>43374</c:v>
                </c:pt>
                <c:pt idx="44">
                  <c:v>43466</c:v>
                </c:pt>
                <c:pt idx="45">
                  <c:v>43556</c:v>
                </c:pt>
                <c:pt idx="46">
                  <c:v>43647</c:v>
                </c:pt>
                <c:pt idx="47">
                  <c:v>43739</c:v>
                </c:pt>
                <c:pt idx="48">
                  <c:v>43831</c:v>
                </c:pt>
                <c:pt idx="49">
                  <c:v>43922</c:v>
                </c:pt>
                <c:pt idx="50">
                  <c:v>44013</c:v>
                </c:pt>
                <c:pt idx="51">
                  <c:v>44105</c:v>
                </c:pt>
                <c:pt idx="52">
                  <c:v>44197</c:v>
                </c:pt>
                <c:pt idx="53">
                  <c:v>44287</c:v>
                </c:pt>
                <c:pt idx="54">
                  <c:v>44378</c:v>
                </c:pt>
                <c:pt idx="55">
                  <c:v>44470</c:v>
                </c:pt>
              </c:numCache>
            </c:numRef>
          </c:cat>
          <c:val>
            <c:numRef>
              <c:f>'Forecast sale'!$E$2:$E$57</c:f>
              <c:numCache>
                <c:formatCode>General</c:formatCode>
                <c:ptCount val="56"/>
                <c:pt idx="31" formatCode="0.00E+00">
                  <c:v>3656185000</c:v>
                </c:pt>
                <c:pt idx="32" formatCode="0.00E+00">
                  <c:v>3929321537.3872852</c:v>
                </c:pt>
                <c:pt idx="33" formatCode="0.00E+00">
                  <c:v>4203590052.383316</c:v>
                </c:pt>
                <c:pt idx="34" formatCode="0.00E+00">
                  <c:v>4386448539.423934</c:v>
                </c:pt>
                <c:pt idx="35" formatCode="0.00E+00">
                  <c:v>4244010711.796773</c:v>
                </c:pt>
                <c:pt idx="36" formatCode="0.00E+00">
                  <c:v>4966412593.7995396</c:v>
                </c:pt>
                <c:pt idx="37" formatCode="0.00E+00">
                  <c:v>5245089352.8824167</c:v>
                </c:pt>
                <c:pt idx="38" formatCode="0.00E+00">
                  <c:v>5476521486.3283501</c:v>
                </c:pt>
                <c:pt idx="39" formatCode="0.00E+00">
                  <c:v>4510399494.3406849</c:v>
                </c:pt>
                <c:pt idx="40" formatCode="0.00E+00">
                  <c:v>4558671799.8082752</c:v>
                </c:pt>
                <c:pt idx="41" formatCode="0.00E+00">
                  <c:v>4658616274.8096485</c:v>
                </c:pt>
                <c:pt idx="42" formatCode="0.00E+00">
                  <c:v>4948456493.8100023</c:v>
                </c:pt>
                <c:pt idx="43" formatCode="0.00E+00">
                  <c:v>4778295547.9274807</c:v>
                </c:pt>
                <c:pt idx="44" formatCode="0.00E+00">
                  <c:v>4715724394.1627731</c:v>
                </c:pt>
                <c:pt idx="45" formatCode="0.00E+00">
                  <c:v>4990362330.5605927</c:v>
                </c:pt>
                <c:pt idx="46" formatCode="0.00E+00">
                  <c:v>5173587335.523387</c:v>
                </c:pt>
                <c:pt idx="47" formatCode="0.00E+00">
                  <c:v>5031513153.2011786</c:v>
                </c:pt>
                <c:pt idx="48" formatCode="0.00E+00">
                  <c:v>5754275839.1055317</c:v>
                </c:pt>
                <c:pt idx="49" formatCode="0.00E+00">
                  <c:v>6033310592.1985931</c:v>
                </c:pt>
                <c:pt idx="50" formatCode="0.00E+00">
                  <c:v>6265097941.5229816</c:v>
                </c:pt>
                <c:pt idx="51" formatCode="0.00E+00">
                  <c:v>5299328419.2419691</c:v>
                </c:pt>
                <c:pt idx="52" formatCode="0.00E+00">
                  <c:v>5347950480.3598738</c:v>
                </c:pt>
                <c:pt idx="53" formatCode="0.00E+00">
                  <c:v>5448242029.1842136</c:v>
                </c:pt>
                <c:pt idx="54" formatCode="0.00E+00">
                  <c:v>5738426672.4832544</c:v>
                </c:pt>
                <c:pt idx="55" formatCode="0.00E+00">
                  <c:v>5568607533.7152967</c:v>
                </c:pt>
              </c:numCache>
            </c:numRef>
          </c:val>
          <c:smooth val="0"/>
          <c:extLst>
            <c:ext xmlns:c16="http://schemas.microsoft.com/office/drawing/2014/chart" uri="{C3380CC4-5D6E-409C-BE32-E72D297353CC}">
              <c16:uniqueId val="{00000003-DF0B-41AA-90C1-33EE9F9DCC76}"/>
            </c:ext>
          </c:extLst>
        </c:ser>
        <c:dLbls>
          <c:showLegendKey val="0"/>
          <c:showVal val="0"/>
          <c:showCatName val="0"/>
          <c:showSerName val="0"/>
          <c:showPercent val="0"/>
          <c:showBubbleSize val="0"/>
        </c:dLbls>
        <c:smooth val="0"/>
        <c:axId val="365709663"/>
        <c:axId val="365708703"/>
      </c:lineChart>
      <c:catAx>
        <c:axId val="36570966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08703"/>
        <c:crosses val="autoZero"/>
        <c:auto val="1"/>
        <c:lblAlgn val="ctr"/>
        <c:lblOffset val="100"/>
        <c:noMultiLvlLbl val="0"/>
      </c:catAx>
      <c:valAx>
        <c:axId val="36570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09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Vehicle Sales Trend &amp; Forecast</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'Forecast sale'!$A$1</c:f>
              <c:strCache>
                <c:ptCount val="1"/>
                <c:pt idx="0">
                  <c:v>Row Labels</c:v>
                </c:pt>
              </c:strCache>
            </c:strRef>
          </c:tx>
          <c:spPr>
            <a:ln w="28575" cap="rnd">
              <a:solidFill>
                <a:schemeClr val="accent1"/>
              </a:solidFill>
              <a:round/>
            </a:ln>
            <a:effectLst/>
          </c:spPr>
          <c:marker>
            <c:symbol val="none"/>
          </c:marker>
          <c:cat>
            <c:numRef>
              <c:f>'Forecast sale'!$A$2:$A$57</c:f>
              <c:numCache>
                <c:formatCode>m/d/yyyy</c:formatCode>
                <c:ptCount val="56"/>
                <c:pt idx="0">
                  <c:v>39448</c:v>
                </c:pt>
                <c:pt idx="1">
                  <c:v>39539</c:v>
                </c:pt>
                <c:pt idx="2">
                  <c:v>39630</c:v>
                </c:pt>
                <c:pt idx="3">
                  <c:v>39722</c:v>
                </c:pt>
                <c:pt idx="4">
                  <c:v>39814</c:v>
                </c:pt>
                <c:pt idx="5">
                  <c:v>39904</c:v>
                </c:pt>
                <c:pt idx="6">
                  <c:v>39995</c:v>
                </c:pt>
                <c:pt idx="7">
                  <c:v>40087</c:v>
                </c:pt>
                <c:pt idx="8">
                  <c:v>40179</c:v>
                </c:pt>
                <c:pt idx="9">
                  <c:v>40269</c:v>
                </c:pt>
                <c:pt idx="10">
                  <c:v>40360</c:v>
                </c:pt>
                <c:pt idx="11">
                  <c:v>40452</c:v>
                </c:pt>
                <c:pt idx="12">
                  <c:v>40544</c:v>
                </c:pt>
                <c:pt idx="13">
                  <c:v>40634</c:v>
                </c:pt>
                <c:pt idx="14">
                  <c:v>40725</c:v>
                </c:pt>
                <c:pt idx="15">
                  <c:v>40817</c:v>
                </c:pt>
                <c:pt idx="16">
                  <c:v>40909</c:v>
                </c:pt>
                <c:pt idx="17">
                  <c:v>41000</c:v>
                </c:pt>
                <c:pt idx="18">
                  <c:v>41091</c:v>
                </c:pt>
                <c:pt idx="19">
                  <c:v>41183</c:v>
                </c:pt>
                <c:pt idx="20">
                  <c:v>41275</c:v>
                </c:pt>
                <c:pt idx="21">
                  <c:v>41365</c:v>
                </c:pt>
                <c:pt idx="22">
                  <c:v>41456</c:v>
                </c:pt>
                <c:pt idx="23">
                  <c:v>41548</c:v>
                </c:pt>
                <c:pt idx="24">
                  <c:v>41640</c:v>
                </c:pt>
                <c:pt idx="25">
                  <c:v>41730</c:v>
                </c:pt>
                <c:pt idx="26">
                  <c:v>41821</c:v>
                </c:pt>
                <c:pt idx="27">
                  <c:v>41913</c:v>
                </c:pt>
                <c:pt idx="28">
                  <c:v>42005</c:v>
                </c:pt>
                <c:pt idx="29">
                  <c:v>42095</c:v>
                </c:pt>
                <c:pt idx="30">
                  <c:v>42186</c:v>
                </c:pt>
                <c:pt idx="31">
                  <c:v>42278</c:v>
                </c:pt>
                <c:pt idx="32">
                  <c:v>42370</c:v>
                </c:pt>
                <c:pt idx="33">
                  <c:v>42461</c:v>
                </c:pt>
                <c:pt idx="34">
                  <c:v>42552</c:v>
                </c:pt>
                <c:pt idx="35">
                  <c:v>42644</c:v>
                </c:pt>
                <c:pt idx="36">
                  <c:v>42736</c:v>
                </c:pt>
                <c:pt idx="37">
                  <c:v>42826</c:v>
                </c:pt>
                <c:pt idx="38">
                  <c:v>42917</c:v>
                </c:pt>
                <c:pt idx="39">
                  <c:v>43009</c:v>
                </c:pt>
                <c:pt idx="40">
                  <c:v>43101</c:v>
                </c:pt>
                <c:pt idx="41">
                  <c:v>43191</c:v>
                </c:pt>
                <c:pt idx="42">
                  <c:v>43282</c:v>
                </c:pt>
                <c:pt idx="43">
                  <c:v>43374</c:v>
                </c:pt>
                <c:pt idx="44">
                  <c:v>43466</c:v>
                </c:pt>
                <c:pt idx="45">
                  <c:v>43556</c:v>
                </c:pt>
                <c:pt idx="46">
                  <c:v>43647</c:v>
                </c:pt>
                <c:pt idx="47">
                  <c:v>43739</c:v>
                </c:pt>
                <c:pt idx="48">
                  <c:v>43831</c:v>
                </c:pt>
                <c:pt idx="49">
                  <c:v>43922</c:v>
                </c:pt>
                <c:pt idx="50">
                  <c:v>44013</c:v>
                </c:pt>
                <c:pt idx="51">
                  <c:v>44105</c:v>
                </c:pt>
                <c:pt idx="52">
                  <c:v>44197</c:v>
                </c:pt>
                <c:pt idx="53">
                  <c:v>44287</c:v>
                </c:pt>
                <c:pt idx="54">
                  <c:v>44378</c:v>
                </c:pt>
                <c:pt idx="55">
                  <c:v>44470</c:v>
                </c:pt>
              </c:numCache>
            </c:numRef>
          </c:cat>
          <c:val>
            <c:numRef>
              <c:f>'Forecast sale'!$A$2:$A$57</c:f>
              <c:numCache>
                <c:formatCode>m/d/yyyy</c:formatCode>
                <c:ptCount val="56"/>
                <c:pt idx="0">
                  <c:v>39448</c:v>
                </c:pt>
                <c:pt idx="1">
                  <c:v>39539</c:v>
                </c:pt>
                <c:pt idx="2">
                  <c:v>39630</c:v>
                </c:pt>
                <c:pt idx="3">
                  <c:v>39722</c:v>
                </c:pt>
                <c:pt idx="4">
                  <c:v>39814</c:v>
                </c:pt>
                <c:pt idx="5">
                  <c:v>39904</c:v>
                </c:pt>
                <c:pt idx="6">
                  <c:v>39995</c:v>
                </c:pt>
                <c:pt idx="7">
                  <c:v>40087</c:v>
                </c:pt>
                <c:pt idx="8">
                  <c:v>40179</c:v>
                </c:pt>
                <c:pt idx="9">
                  <c:v>40269</c:v>
                </c:pt>
                <c:pt idx="10">
                  <c:v>40360</c:v>
                </c:pt>
                <c:pt idx="11">
                  <c:v>40452</c:v>
                </c:pt>
                <c:pt idx="12">
                  <c:v>40544</c:v>
                </c:pt>
                <c:pt idx="13">
                  <c:v>40634</c:v>
                </c:pt>
                <c:pt idx="14">
                  <c:v>40725</c:v>
                </c:pt>
                <c:pt idx="15">
                  <c:v>40817</c:v>
                </c:pt>
                <c:pt idx="16">
                  <c:v>40909</c:v>
                </c:pt>
                <c:pt idx="17">
                  <c:v>41000</c:v>
                </c:pt>
                <c:pt idx="18">
                  <c:v>41091</c:v>
                </c:pt>
                <c:pt idx="19">
                  <c:v>41183</c:v>
                </c:pt>
                <c:pt idx="20">
                  <c:v>41275</c:v>
                </c:pt>
                <c:pt idx="21">
                  <c:v>41365</c:v>
                </c:pt>
                <c:pt idx="22">
                  <c:v>41456</c:v>
                </c:pt>
                <c:pt idx="23">
                  <c:v>41548</c:v>
                </c:pt>
                <c:pt idx="24">
                  <c:v>41640</c:v>
                </c:pt>
                <c:pt idx="25">
                  <c:v>41730</c:v>
                </c:pt>
                <c:pt idx="26">
                  <c:v>41821</c:v>
                </c:pt>
                <c:pt idx="27">
                  <c:v>41913</c:v>
                </c:pt>
                <c:pt idx="28">
                  <c:v>42005</c:v>
                </c:pt>
                <c:pt idx="29">
                  <c:v>42095</c:v>
                </c:pt>
                <c:pt idx="30">
                  <c:v>42186</c:v>
                </c:pt>
                <c:pt idx="31">
                  <c:v>42278</c:v>
                </c:pt>
                <c:pt idx="32">
                  <c:v>42370</c:v>
                </c:pt>
                <c:pt idx="33">
                  <c:v>42461</c:v>
                </c:pt>
                <c:pt idx="34">
                  <c:v>42552</c:v>
                </c:pt>
                <c:pt idx="35">
                  <c:v>42644</c:v>
                </c:pt>
                <c:pt idx="36">
                  <c:v>42736</c:v>
                </c:pt>
                <c:pt idx="37">
                  <c:v>42826</c:v>
                </c:pt>
                <c:pt idx="38">
                  <c:v>42917</c:v>
                </c:pt>
                <c:pt idx="39">
                  <c:v>43009</c:v>
                </c:pt>
                <c:pt idx="40">
                  <c:v>43101</c:v>
                </c:pt>
                <c:pt idx="41">
                  <c:v>43191</c:v>
                </c:pt>
                <c:pt idx="42">
                  <c:v>43282</c:v>
                </c:pt>
                <c:pt idx="43">
                  <c:v>43374</c:v>
                </c:pt>
                <c:pt idx="44">
                  <c:v>43466</c:v>
                </c:pt>
                <c:pt idx="45">
                  <c:v>43556</c:v>
                </c:pt>
                <c:pt idx="46">
                  <c:v>43647</c:v>
                </c:pt>
                <c:pt idx="47">
                  <c:v>43739</c:v>
                </c:pt>
                <c:pt idx="48">
                  <c:v>43831</c:v>
                </c:pt>
                <c:pt idx="49">
                  <c:v>43922</c:v>
                </c:pt>
                <c:pt idx="50">
                  <c:v>44013</c:v>
                </c:pt>
                <c:pt idx="51">
                  <c:v>44105</c:v>
                </c:pt>
                <c:pt idx="52">
                  <c:v>44197</c:v>
                </c:pt>
                <c:pt idx="53">
                  <c:v>44287</c:v>
                </c:pt>
                <c:pt idx="54">
                  <c:v>44378</c:v>
                </c:pt>
                <c:pt idx="55">
                  <c:v>44470</c:v>
                </c:pt>
              </c:numCache>
            </c:numRef>
          </c:val>
          <c:smooth val="0"/>
          <c:extLst>
            <c:ext xmlns:c16="http://schemas.microsoft.com/office/drawing/2014/chart" uri="{C3380CC4-5D6E-409C-BE32-E72D297353CC}">
              <c16:uniqueId val="{00000000-E01F-4A94-AD96-43AF3A55C843}"/>
            </c:ext>
          </c:extLst>
        </c:ser>
        <c:ser>
          <c:idx val="1"/>
          <c:order val="1"/>
          <c:tx>
            <c:strRef>
              <c:f>'Forecast sale'!$B$2</c:f>
              <c:strCache>
                <c:ptCount val="1"/>
                <c:pt idx="0">
                  <c:v>2407552000</c:v>
                </c:pt>
              </c:strCache>
            </c:strRef>
          </c:tx>
          <c:spPr>
            <a:ln w="28575" cap="rnd">
              <a:solidFill>
                <a:schemeClr val="accent2">
                  <a:lumMod val="60000"/>
                  <a:lumOff val="40000"/>
                </a:schemeClr>
              </a:solidFill>
              <a:round/>
            </a:ln>
            <a:effectLst/>
          </c:spPr>
          <c:marker>
            <c:symbol val="none"/>
          </c:marker>
          <c:cat>
            <c:numRef>
              <c:f>'Forecast sale'!$A$2:$A$57</c:f>
              <c:numCache>
                <c:formatCode>m/d/yyyy</c:formatCode>
                <c:ptCount val="56"/>
                <c:pt idx="0">
                  <c:v>39448</c:v>
                </c:pt>
                <c:pt idx="1">
                  <c:v>39539</c:v>
                </c:pt>
                <c:pt idx="2">
                  <c:v>39630</c:v>
                </c:pt>
                <c:pt idx="3">
                  <c:v>39722</c:v>
                </c:pt>
                <c:pt idx="4">
                  <c:v>39814</c:v>
                </c:pt>
                <c:pt idx="5">
                  <c:v>39904</c:v>
                </c:pt>
                <c:pt idx="6">
                  <c:v>39995</c:v>
                </c:pt>
                <c:pt idx="7">
                  <c:v>40087</c:v>
                </c:pt>
                <c:pt idx="8">
                  <c:v>40179</c:v>
                </c:pt>
                <c:pt idx="9">
                  <c:v>40269</c:v>
                </c:pt>
                <c:pt idx="10">
                  <c:v>40360</c:v>
                </c:pt>
                <c:pt idx="11">
                  <c:v>40452</c:v>
                </c:pt>
                <c:pt idx="12">
                  <c:v>40544</c:v>
                </c:pt>
                <c:pt idx="13">
                  <c:v>40634</c:v>
                </c:pt>
                <c:pt idx="14">
                  <c:v>40725</c:v>
                </c:pt>
                <c:pt idx="15">
                  <c:v>40817</c:v>
                </c:pt>
                <c:pt idx="16">
                  <c:v>40909</c:v>
                </c:pt>
                <c:pt idx="17">
                  <c:v>41000</c:v>
                </c:pt>
                <c:pt idx="18">
                  <c:v>41091</c:v>
                </c:pt>
                <c:pt idx="19">
                  <c:v>41183</c:v>
                </c:pt>
                <c:pt idx="20">
                  <c:v>41275</c:v>
                </c:pt>
                <c:pt idx="21">
                  <c:v>41365</c:v>
                </c:pt>
                <c:pt idx="22">
                  <c:v>41456</c:v>
                </c:pt>
                <c:pt idx="23">
                  <c:v>41548</c:v>
                </c:pt>
                <c:pt idx="24">
                  <c:v>41640</c:v>
                </c:pt>
                <c:pt idx="25">
                  <c:v>41730</c:v>
                </c:pt>
                <c:pt idx="26">
                  <c:v>41821</c:v>
                </c:pt>
                <c:pt idx="27">
                  <c:v>41913</c:v>
                </c:pt>
                <c:pt idx="28">
                  <c:v>42005</c:v>
                </c:pt>
                <c:pt idx="29">
                  <c:v>42095</c:v>
                </c:pt>
                <c:pt idx="30">
                  <c:v>42186</c:v>
                </c:pt>
                <c:pt idx="31">
                  <c:v>42278</c:v>
                </c:pt>
                <c:pt idx="32">
                  <c:v>42370</c:v>
                </c:pt>
                <c:pt idx="33">
                  <c:v>42461</c:v>
                </c:pt>
                <c:pt idx="34">
                  <c:v>42552</c:v>
                </c:pt>
                <c:pt idx="35">
                  <c:v>42644</c:v>
                </c:pt>
                <c:pt idx="36">
                  <c:v>42736</c:v>
                </c:pt>
                <c:pt idx="37">
                  <c:v>42826</c:v>
                </c:pt>
                <c:pt idx="38">
                  <c:v>42917</c:v>
                </c:pt>
                <c:pt idx="39">
                  <c:v>43009</c:v>
                </c:pt>
                <c:pt idx="40">
                  <c:v>43101</c:v>
                </c:pt>
                <c:pt idx="41">
                  <c:v>43191</c:v>
                </c:pt>
                <c:pt idx="42">
                  <c:v>43282</c:v>
                </c:pt>
                <c:pt idx="43">
                  <c:v>43374</c:v>
                </c:pt>
                <c:pt idx="44">
                  <c:v>43466</c:v>
                </c:pt>
                <c:pt idx="45">
                  <c:v>43556</c:v>
                </c:pt>
                <c:pt idx="46">
                  <c:v>43647</c:v>
                </c:pt>
                <c:pt idx="47">
                  <c:v>43739</c:v>
                </c:pt>
                <c:pt idx="48">
                  <c:v>43831</c:v>
                </c:pt>
                <c:pt idx="49">
                  <c:v>43922</c:v>
                </c:pt>
                <c:pt idx="50">
                  <c:v>44013</c:v>
                </c:pt>
                <c:pt idx="51">
                  <c:v>44105</c:v>
                </c:pt>
                <c:pt idx="52">
                  <c:v>44197</c:v>
                </c:pt>
                <c:pt idx="53">
                  <c:v>44287</c:v>
                </c:pt>
                <c:pt idx="54">
                  <c:v>44378</c:v>
                </c:pt>
                <c:pt idx="55">
                  <c:v>44470</c:v>
                </c:pt>
              </c:numCache>
            </c:numRef>
          </c:cat>
          <c:val>
            <c:numRef>
              <c:f>'Forecast sale'!$B$3:$B$57</c:f>
              <c:numCache>
                <c:formatCode>General</c:formatCode>
                <c:ptCount val="55"/>
                <c:pt idx="0">
                  <c:v>2427936000</c:v>
                </c:pt>
                <c:pt idx="1">
                  <c:v>2300541000</c:v>
                </c:pt>
                <c:pt idx="2">
                  <c:v>1829532000</c:v>
                </c:pt>
                <c:pt idx="3">
                  <c:v>1657155000</c:v>
                </c:pt>
                <c:pt idx="4">
                  <c:v>1826950000</c:v>
                </c:pt>
                <c:pt idx="5">
                  <c:v>2223123000</c:v>
                </c:pt>
                <c:pt idx="6">
                  <c:v>1945272000</c:v>
                </c:pt>
                <c:pt idx="7">
                  <c:v>1904579000</c:v>
                </c:pt>
                <c:pt idx="8">
                  <c:v>2111542000</c:v>
                </c:pt>
                <c:pt idx="9">
                  <c:v>2311231000</c:v>
                </c:pt>
                <c:pt idx="10">
                  <c:v>2228736000</c:v>
                </c:pt>
                <c:pt idx="11">
                  <c:v>2957148000</c:v>
                </c:pt>
                <c:pt idx="12">
                  <c:v>3241654000</c:v>
                </c:pt>
                <c:pt idx="13">
                  <c:v>3470846000</c:v>
                </c:pt>
                <c:pt idx="14">
                  <c:v>2500793000</c:v>
                </c:pt>
                <c:pt idx="15">
                  <c:v>2547108000</c:v>
                </c:pt>
                <c:pt idx="16">
                  <c:v>2738843000</c:v>
                </c:pt>
                <c:pt idx="17">
                  <c:v>2885037000</c:v>
                </c:pt>
                <c:pt idx="18">
                  <c:v>2789888000</c:v>
                </c:pt>
                <c:pt idx="19">
                  <c:v>2675387000</c:v>
                </c:pt>
                <c:pt idx="20">
                  <c:v>3022493000</c:v>
                </c:pt>
                <c:pt idx="21">
                  <c:v>3183370000</c:v>
                </c:pt>
                <c:pt idx="22">
                  <c:v>3119365000</c:v>
                </c:pt>
                <c:pt idx="23">
                  <c:v>2936644000</c:v>
                </c:pt>
                <c:pt idx="24">
                  <c:v>3331042000</c:v>
                </c:pt>
                <c:pt idx="25">
                  <c:v>3624346000</c:v>
                </c:pt>
                <c:pt idx="26">
                  <c:v>3500455000</c:v>
                </c:pt>
                <c:pt idx="27">
                  <c:v>3291273000</c:v>
                </c:pt>
                <c:pt idx="28">
                  <c:v>3642834000</c:v>
                </c:pt>
                <c:pt idx="29">
                  <c:v>3916440000</c:v>
                </c:pt>
                <c:pt idx="30">
                  <c:v>3656185000</c:v>
                </c:pt>
              </c:numCache>
            </c:numRef>
          </c:val>
          <c:smooth val="0"/>
          <c:extLst>
            <c:ext xmlns:c16="http://schemas.microsoft.com/office/drawing/2014/chart" uri="{C3380CC4-5D6E-409C-BE32-E72D297353CC}">
              <c16:uniqueId val="{00000001-E01F-4A94-AD96-43AF3A55C843}"/>
            </c:ext>
          </c:extLst>
        </c:ser>
        <c:ser>
          <c:idx val="2"/>
          <c:order val="2"/>
          <c:tx>
            <c:strRef>
              <c:f>'Forecast sale'!$C$2</c:f>
              <c:strCache>
                <c:ptCount val="1"/>
              </c:strCache>
            </c:strRef>
          </c:tx>
          <c:spPr>
            <a:ln w="28575" cap="rnd">
              <a:solidFill>
                <a:schemeClr val="accent3"/>
              </a:solidFill>
              <a:prstDash val="dash"/>
              <a:round/>
            </a:ln>
            <a:effectLst/>
          </c:spPr>
          <c:marker>
            <c:symbol val="none"/>
          </c:marker>
          <c:cat>
            <c:numRef>
              <c:f>'Forecast sale'!$A$2:$A$57</c:f>
              <c:numCache>
                <c:formatCode>m/d/yyyy</c:formatCode>
                <c:ptCount val="56"/>
                <c:pt idx="0">
                  <c:v>39448</c:v>
                </c:pt>
                <c:pt idx="1">
                  <c:v>39539</c:v>
                </c:pt>
                <c:pt idx="2">
                  <c:v>39630</c:v>
                </c:pt>
                <c:pt idx="3">
                  <c:v>39722</c:v>
                </c:pt>
                <c:pt idx="4">
                  <c:v>39814</c:v>
                </c:pt>
                <c:pt idx="5">
                  <c:v>39904</c:v>
                </c:pt>
                <c:pt idx="6">
                  <c:v>39995</c:v>
                </c:pt>
                <c:pt idx="7">
                  <c:v>40087</c:v>
                </c:pt>
                <c:pt idx="8">
                  <c:v>40179</c:v>
                </c:pt>
                <c:pt idx="9">
                  <c:v>40269</c:v>
                </c:pt>
                <c:pt idx="10">
                  <c:v>40360</c:v>
                </c:pt>
                <c:pt idx="11">
                  <c:v>40452</c:v>
                </c:pt>
                <c:pt idx="12">
                  <c:v>40544</c:v>
                </c:pt>
                <c:pt idx="13">
                  <c:v>40634</c:v>
                </c:pt>
                <c:pt idx="14">
                  <c:v>40725</c:v>
                </c:pt>
                <c:pt idx="15">
                  <c:v>40817</c:v>
                </c:pt>
                <c:pt idx="16">
                  <c:v>40909</c:v>
                </c:pt>
                <c:pt idx="17">
                  <c:v>41000</c:v>
                </c:pt>
                <c:pt idx="18">
                  <c:v>41091</c:v>
                </c:pt>
                <c:pt idx="19">
                  <c:v>41183</c:v>
                </c:pt>
                <c:pt idx="20">
                  <c:v>41275</c:v>
                </c:pt>
                <c:pt idx="21">
                  <c:v>41365</c:v>
                </c:pt>
                <c:pt idx="22">
                  <c:v>41456</c:v>
                </c:pt>
                <c:pt idx="23">
                  <c:v>41548</c:v>
                </c:pt>
                <c:pt idx="24">
                  <c:v>41640</c:v>
                </c:pt>
                <c:pt idx="25">
                  <c:v>41730</c:v>
                </c:pt>
                <c:pt idx="26">
                  <c:v>41821</c:v>
                </c:pt>
                <c:pt idx="27">
                  <c:v>41913</c:v>
                </c:pt>
                <c:pt idx="28">
                  <c:v>42005</c:v>
                </c:pt>
                <c:pt idx="29">
                  <c:v>42095</c:v>
                </c:pt>
                <c:pt idx="30">
                  <c:v>42186</c:v>
                </c:pt>
                <c:pt idx="31">
                  <c:v>42278</c:v>
                </c:pt>
                <c:pt idx="32">
                  <c:v>42370</c:v>
                </c:pt>
                <c:pt idx="33">
                  <c:v>42461</c:v>
                </c:pt>
                <c:pt idx="34">
                  <c:v>42552</c:v>
                </c:pt>
                <c:pt idx="35">
                  <c:v>42644</c:v>
                </c:pt>
                <c:pt idx="36">
                  <c:v>42736</c:v>
                </c:pt>
                <c:pt idx="37">
                  <c:v>42826</c:v>
                </c:pt>
                <c:pt idx="38">
                  <c:v>42917</c:v>
                </c:pt>
                <c:pt idx="39">
                  <c:v>43009</c:v>
                </c:pt>
                <c:pt idx="40">
                  <c:v>43101</c:v>
                </c:pt>
                <c:pt idx="41">
                  <c:v>43191</c:v>
                </c:pt>
                <c:pt idx="42">
                  <c:v>43282</c:v>
                </c:pt>
                <c:pt idx="43">
                  <c:v>43374</c:v>
                </c:pt>
                <c:pt idx="44">
                  <c:v>43466</c:v>
                </c:pt>
                <c:pt idx="45">
                  <c:v>43556</c:v>
                </c:pt>
                <c:pt idx="46">
                  <c:v>43647</c:v>
                </c:pt>
                <c:pt idx="47">
                  <c:v>43739</c:v>
                </c:pt>
                <c:pt idx="48">
                  <c:v>43831</c:v>
                </c:pt>
                <c:pt idx="49">
                  <c:v>43922</c:v>
                </c:pt>
                <c:pt idx="50">
                  <c:v>44013</c:v>
                </c:pt>
                <c:pt idx="51">
                  <c:v>44105</c:v>
                </c:pt>
                <c:pt idx="52">
                  <c:v>44197</c:v>
                </c:pt>
                <c:pt idx="53">
                  <c:v>44287</c:v>
                </c:pt>
                <c:pt idx="54">
                  <c:v>44378</c:v>
                </c:pt>
                <c:pt idx="55">
                  <c:v>44470</c:v>
                </c:pt>
              </c:numCache>
            </c:numRef>
          </c:cat>
          <c:val>
            <c:numRef>
              <c:f>'Forecast sale'!$C$3:$C$57</c:f>
              <c:numCache>
                <c:formatCode>General</c:formatCode>
                <c:ptCount val="55"/>
                <c:pt idx="30">
                  <c:v>3656185000</c:v>
                </c:pt>
                <c:pt idx="31">
                  <c:v>3409979486.7426648</c:v>
                </c:pt>
                <c:pt idx="32">
                  <c:v>3680076520.941958</c:v>
                </c:pt>
                <c:pt idx="33">
                  <c:v>3858731335.5553613</c:v>
                </c:pt>
                <c:pt idx="34">
                  <c:v>3712057900.0079103</c:v>
                </c:pt>
                <c:pt idx="35">
                  <c:v>4430192492.3783293</c:v>
                </c:pt>
                <c:pt idx="36">
                  <c:v>4704570531.4844189</c:v>
                </c:pt>
                <c:pt idx="37">
                  <c:v>4931672763.5122519</c:v>
                </c:pt>
                <c:pt idx="38">
                  <c:v>3961189935.058382</c:v>
                </c:pt>
                <c:pt idx="39">
                  <c:v>4005070712.854866</c:v>
                </c:pt>
                <c:pt idx="40">
                  <c:v>4100593210.2384176</c:v>
                </c:pt>
                <c:pt idx="41">
                  <c:v>4385981240.3171844</c:v>
                </c:pt>
                <c:pt idx="42">
                  <c:v>4211338130.2113428</c:v>
                </c:pt>
                <c:pt idx="43">
                  <c:v>4144189706.205615</c:v>
                </c:pt>
                <c:pt idx="44">
                  <c:v>4414286740.4049072</c:v>
                </c:pt>
                <c:pt idx="45">
                  <c:v>4592941555.0183115</c:v>
                </c:pt>
                <c:pt idx="46">
                  <c:v>4446268119.4708605</c:v>
                </c:pt>
                <c:pt idx="47">
                  <c:v>5164402711.841279</c:v>
                </c:pt>
                <c:pt idx="48">
                  <c:v>5438780750.9473696</c:v>
                </c:pt>
                <c:pt idx="49">
                  <c:v>5665882982.9752016</c:v>
                </c:pt>
                <c:pt idx="50">
                  <c:v>4695400154.5213318</c:v>
                </c:pt>
                <c:pt idx="51">
                  <c:v>4739280932.3178167</c:v>
                </c:pt>
                <c:pt idx="52">
                  <c:v>4834803429.7013674</c:v>
                </c:pt>
                <c:pt idx="53">
                  <c:v>5120191459.7801342</c:v>
                </c:pt>
                <c:pt idx="54">
                  <c:v>4945548349.6742926</c:v>
                </c:pt>
              </c:numCache>
            </c:numRef>
          </c:val>
          <c:smooth val="0"/>
          <c:extLst>
            <c:ext xmlns:c16="http://schemas.microsoft.com/office/drawing/2014/chart" uri="{C3380CC4-5D6E-409C-BE32-E72D297353CC}">
              <c16:uniqueId val="{00000002-E01F-4A94-AD96-43AF3A55C843}"/>
            </c:ext>
          </c:extLst>
        </c:ser>
        <c:dLbls>
          <c:showLegendKey val="0"/>
          <c:showVal val="0"/>
          <c:showCatName val="0"/>
          <c:showSerName val="0"/>
          <c:showPercent val="0"/>
          <c:showBubbleSize val="0"/>
        </c:dLbls>
        <c:smooth val="0"/>
        <c:axId val="1667025887"/>
        <c:axId val="1667026367"/>
      </c:lineChart>
      <c:dateAx>
        <c:axId val="1667025887"/>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026367"/>
        <c:crosses val="autoZero"/>
        <c:auto val="1"/>
        <c:lblOffset val="100"/>
        <c:baseTimeUnit val="months"/>
      </c:dateAx>
      <c:valAx>
        <c:axId val="166702636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025887"/>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[colorado_motor_vehicle_sales Dashboard.xlsx]Analysis!sales trends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Year</a:t>
            </a:r>
            <a:endParaRPr lang="en-US"/>
          </a:p>
        </c:rich>
      </c:tx>
      <c:layout>
        <c:manualLayout>
          <c:xMode val="edge"/>
          <c:yMode val="edge"/>
          <c:x val="0.34746028537683554"/>
          <c:y val="8.7582606321871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4683964366452E-2"/>
          <c:y val="6.8976226024484708E-2"/>
          <c:w val="0.84038200280300057"/>
          <c:h val="0.84649475154520515"/>
        </c:manualLayout>
      </c:layout>
      <c:lineChart>
        <c:grouping val="stacked"/>
        <c:varyColors val="0"/>
        <c:ser>
          <c:idx val="0"/>
          <c:order val="0"/>
          <c:tx>
            <c:strRef>
              <c:f>Analysis!$R$7</c:f>
              <c:strCache>
                <c:ptCount val="1"/>
                <c:pt idx="0">
                  <c:v>Total</c:v>
                </c:pt>
              </c:strCache>
            </c:strRef>
          </c:tx>
          <c:spPr>
            <a:ln w="28575" cap="rnd">
              <a:solidFill>
                <a:schemeClr val="accent1"/>
              </a:solidFill>
              <a:round/>
            </a:ln>
            <a:effectLst/>
          </c:spPr>
          <c:marker>
            <c:symbol val="none"/>
          </c:marker>
          <c:cat>
            <c:strRef>
              <c:f>Analysis!$Q$8:$Q$16</c:f>
              <c:strCache>
                <c:ptCount val="8"/>
                <c:pt idx="0">
                  <c:v>2008</c:v>
                </c:pt>
                <c:pt idx="1">
                  <c:v>2009</c:v>
                </c:pt>
                <c:pt idx="2">
                  <c:v>2010</c:v>
                </c:pt>
                <c:pt idx="3">
                  <c:v>2011</c:v>
                </c:pt>
                <c:pt idx="4">
                  <c:v>2012</c:v>
                </c:pt>
                <c:pt idx="5">
                  <c:v>2013</c:v>
                </c:pt>
                <c:pt idx="6">
                  <c:v>2014</c:v>
                </c:pt>
                <c:pt idx="7">
                  <c:v>2015</c:v>
                </c:pt>
              </c:strCache>
            </c:strRef>
          </c:cat>
          <c:val>
            <c:numRef>
              <c:f>Analysis!$R$8:$R$16</c:f>
              <c:numCache>
                <c:formatCode>General</c:formatCode>
                <c:ptCount val="8"/>
                <c:pt idx="0">
                  <c:v>8965561000</c:v>
                </c:pt>
                <c:pt idx="1">
                  <c:v>7652500000</c:v>
                </c:pt>
                <c:pt idx="2">
                  <c:v>8556088000</c:v>
                </c:pt>
                <c:pt idx="3">
                  <c:v>12170441000</c:v>
                </c:pt>
                <c:pt idx="4">
                  <c:v>10960876000</c:v>
                </c:pt>
                <c:pt idx="5">
                  <c:v>12000615000</c:v>
                </c:pt>
                <c:pt idx="6">
                  <c:v>13392487000</c:v>
                </c:pt>
                <c:pt idx="7">
                  <c:v>14506732000</c:v>
                </c:pt>
              </c:numCache>
            </c:numRef>
          </c:val>
          <c:smooth val="0"/>
          <c:extLst>
            <c:ext xmlns:c16="http://schemas.microsoft.com/office/drawing/2014/chart" uri="{C3380CC4-5D6E-409C-BE32-E72D297353CC}">
              <c16:uniqueId val="{00000000-DC69-4D7C-8FA1-9FB7467069BB}"/>
            </c:ext>
          </c:extLst>
        </c:ser>
        <c:dLbls>
          <c:showLegendKey val="0"/>
          <c:showVal val="0"/>
          <c:showCatName val="0"/>
          <c:showSerName val="0"/>
          <c:showPercent val="0"/>
          <c:showBubbleSize val="0"/>
        </c:dLbls>
        <c:smooth val="0"/>
        <c:axId val="466563216"/>
        <c:axId val="466561296"/>
      </c:lineChart>
      <c:catAx>
        <c:axId val="46656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61296"/>
        <c:crosses val="autoZero"/>
        <c:auto val="1"/>
        <c:lblAlgn val="ctr"/>
        <c:lblOffset val="100"/>
        <c:noMultiLvlLbl val="0"/>
      </c:catAx>
      <c:valAx>
        <c:axId val="4665612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63216"/>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Growth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sale'!$F$1</c:f>
              <c:strCache>
                <c:ptCount val="1"/>
                <c:pt idx="0">
                  <c:v>YoY Growth % (Historical)</c:v>
                </c:pt>
              </c:strCache>
            </c:strRef>
          </c:tx>
          <c:spPr>
            <a:ln w="28575" cap="rnd">
              <a:solidFill>
                <a:schemeClr val="accent2">
                  <a:lumMod val="60000"/>
                  <a:lumOff val="40000"/>
                </a:schemeClr>
              </a:solidFill>
              <a:round/>
            </a:ln>
            <a:effectLst/>
          </c:spPr>
          <c:marker>
            <c:symbol val="none"/>
          </c:marker>
          <c:cat>
            <c:numRef>
              <c:f>'Forecast sale'!$A$2:$A$57</c:f>
              <c:numCache>
                <c:formatCode>m/d/yyyy</c:formatCode>
                <c:ptCount val="56"/>
                <c:pt idx="0">
                  <c:v>39448</c:v>
                </c:pt>
                <c:pt idx="1">
                  <c:v>39539</c:v>
                </c:pt>
                <c:pt idx="2">
                  <c:v>39630</c:v>
                </c:pt>
                <c:pt idx="3">
                  <c:v>39722</c:v>
                </c:pt>
                <c:pt idx="4">
                  <c:v>39814</c:v>
                </c:pt>
                <c:pt idx="5">
                  <c:v>39904</c:v>
                </c:pt>
                <c:pt idx="6">
                  <c:v>39995</c:v>
                </c:pt>
                <c:pt idx="7">
                  <c:v>40087</c:v>
                </c:pt>
                <c:pt idx="8">
                  <c:v>40179</c:v>
                </c:pt>
                <c:pt idx="9">
                  <c:v>40269</c:v>
                </c:pt>
                <c:pt idx="10">
                  <c:v>40360</c:v>
                </c:pt>
                <c:pt idx="11">
                  <c:v>40452</c:v>
                </c:pt>
                <c:pt idx="12">
                  <c:v>40544</c:v>
                </c:pt>
                <c:pt idx="13">
                  <c:v>40634</c:v>
                </c:pt>
                <c:pt idx="14">
                  <c:v>40725</c:v>
                </c:pt>
                <c:pt idx="15">
                  <c:v>40817</c:v>
                </c:pt>
                <c:pt idx="16">
                  <c:v>40909</c:v>
                </c:pt>
                <c:pt idx="17">
                  <c:v>41000</c:v>
                </c:pt>
                <c:pt idx="18">
                  <c:v>41091</c:v>
                </c:pt>
                <c:pt idx="19">
                  <c:v>41183</c:v>
                </c:pt>
                <c:pt idx="20">
                  <c:v>41275</c:v>
                </c:pt>
                <c:pt idx="21">
                  <c:v>41365</c:v>
                </c:pt>
                <c:pt idx="22">
                  <c:v>41456</c:v>
                </c:pt>
                <c:pt idx="23">
                  <c:v>41548</c:v>
                </c:pt>
                <c:pt idx="24">
                  <c:v>41640</c:v>
                </c:pt>
                <c:pt idx="25">
                  <c:v>41730</c:v>
                </c:pt>
                <c:pt idx="26">
                  <c:v>41821</c:v>
                </c:pt>
                <c:pt idx="27">
                  <c:v>41913</c:v>
                </c:pt>
                <c:pt idx="28">
                  <c:v>42005</c:v>
                </c:pt>
                <c:pt idx="29">
                  <c:v>42095</c:v>
                </c:pt>
                <c:pt idx="30">
                  <c:v>42186</c:v>
                </c:pt>
                <c:pt idx="31">
                  <c:v>42278</c:v>
                </c:pt>
                <c:pt idx="32">
                  <c:v>42370</c:v>
                </c:pt>
                <c:pt idx="33">
                  <c:v>42461</c:v>
                </c:pt>
                <c:pt idx="34">
                  <c:v>42552</c:v>
                </c:pt>
                <c:pt idx="35">
                  <c:v>42644</c:v>
                </c:pt>
                <c:pt idx="36">
                  <c:v>42736</c:v>
                </c:pt>
                <c:pt idx="37">
                  <c:v>42826</c:v>
                </c:pt>
                <c:pt idx="38">
                  <c:v>42917</c:v>
                </c:pt>
                <c:pt idx="39">
                  <c:v>43009</c:v>
                </c:pt>
                <c:pt idx="40">
                  <c:v>43101</c:v>
                </c:pt>
                <c:pt idx="41">
                  <c:v>43191</c:v>
                </c:pt>
                <c:pt idx="42">
                  <c:v>43282</c:v>
                </c:pt>
                <c:pt idx="43">
                  <c:v>43374</c:v>
                </c:pt>
                <c:pt idx="44">
                  <c:v>43466</c:v>
                </c:pt>
                <c:pt idx="45">
                  <c:v>43556</c:v>
                </c:pt>
                <c:pt idx="46">
                  <c:v>43647</c:v>
                </c:pt>
                <c:pt idx="47">
                  <c:v>43739</c:v>
                </c:pt>
                <c:pt idx="48">
                  <c:v>43831</c:v>
                </c:pt>
                <c:pt idx="49">
                  <c:v>43922</c:v>
                </c:pt>
                <c:pt idx="50">
                  <c:v>44013</c:v>
                </c:pt>
                <c:pt idx="51">
                  <c:v>44105</c:v>
                </c:pt>
                <c:pt idx="52">
                  <c:v>44197</c:v>
                </c:pt>
                <c:pt idx="53">
                  <c:v>44287</c:v>
                </c:pt>
                <c:pt idx="54">
                  <c:v>44378</c:v>
                </c:pt>
                <c:pt idx="55">
                  <c:v>44470</c:v>
                </c:pt>
              </c:numCache>
            </c:numRef>
          </c:cat>
          <c:val>
            <c:numRef>
              <c:f>'Forecast sale'!$F$2:$F$57</c:f>
              <c:numCache>
                <c:formatCode>0%</c:formatCode>
                <c:ptCount val="56"/>
                <c:pt idx="4">
                  <c:v>-0.31168464897123715</c:v>
                </c:pt>
                <c:pt idx="5">
                  <c:v>-0.24752958891832405</c:v>
                </c:pt>
                <c:pt idx="6">
                  <c:v>-3.3652084444485017E-2</c:v>
                </c:pt>
                <c:pt idx="7">
                  <c:v>6.326208013852723E-2</c:v>
                </c:pt>
                <c:pt idx="8">
                  <c:v>0.14930649215070407</c:v>
                </c:pt>
                <c:pt idx="9">
                  <c:v>0.15577437806179698</c:v>
                </c:pt>
                <c:pt idx="10">
                  <c:v>3.9632534951957225E-2</c:v>
                </c:pt>
                <c:pt idx="11">
                  <c:v>0.14571946750891393</c:v>
                </c:pt>
                <c:pt idx="12">
                  <c:v>0.55265179338846016</c:v>
                </c:pt>
                <c:pt idx="13">
                  <c:v>0.53520697196645861</c:v>
                </c:pt>
                <c:pt idx="14">
                  <c:v>0.50173046311684122</c:v>
                </c:pt>
                <c:pt idx="15">
                  <c:v>0.12206784473351712</c:v>
                </c:pt>
                <c:pt idx="16">
                  <c:v>-0.13866062841629839</c:v>
                </c:pt>
                <c:pt idx="17">
                  <c:v>-0.15510939785677311</c:v>
                </c:pt>
                <c:pt idx="18">
                  <c:v>-0.16877988824626619</c:v>
                </c:pt>
                <c:pt idx="19">
                  <c:v>0.11560133125772505</c:v>
                </c:pt>
                <c:pt idx="20">
                  <c:v>5.036260731778943E-2</c:v>
                </c:pt>
                <c:pt idx="21">
                  <c:v>0.103565629720287</c:v>
                </c:pt>
                <c:pt idx="22">
                  <c:v>0.10340699270061354</c:v>
                </c:pt>
                <c:pt idx="23">
                  <c:v>0.11809685550100936</c:v>
                </c:pt>
                <c:pt idx="24">
                  <c:v>9.7652040620665348E-2</c:v>
                </c:pt>
                <c:pt idx="25">
                  <c:v>0.10208427281717443</c:v>
                </c:pt>
                <c:pt idx="26">
                  <c:v>0.13852489657187195</c:v>
                </c:pt>
                <c:pt idx="27">
                  <c:v>0.1221690953126678</c:v>
                </c:pt>
                <c:pt idx="28">
                  <c:v>0.12075995592247477</c:v>
                </c:pt>
                <c:pt idx="29">
                  <c:v>9.3601941974913561E-2</c:v>
                </c:pt>
                <c:pt idx="30">
                  <c:v>8.0592195116029205E-2</c:v>
                </c:pt>
                <c:pt idx="31">
                  <c:v>4.4488502208998547E-2</c:v>
                </c:pt>
                <c:pt idx="35">
                  <c:v>1.528174860077109E-2</c:v>
                </c:pt>
                <c:pt idx="36">
                  <c:v>0.29918449937955743</c:v>
                </c:pt>
                <c:pt idx="37">
                  <c:v>0.27838932280686107</c:v>
                </c:pt>
                <c:pt idx="38">
                  <c:v>0.27805548887804837</c:v>
                </c:pt>
                <c:pt idx="39">
                  <c:v>6.7114264314126371E-2</c:v>
                </c:pt>
                <c:pt idx="40">
                  <c:v>-9.5960114657509726E-2</c:v>
                </c:pt>
                <c:pt idx="41">
                  <c:v>-0.12838096850796499</c:v>
                </c:pt>
                <c:pt idx="42">
                  <c:v>-0.11065039173573134</c:v>
                </c:pt>
                <c:pt idx="43">
                  <c:v>6.3149760363428259E-2</c:v>
                </c:pt>
                <c:pt idx="44">
                  <c:v>3.4735714629014182E-2</c:v>
                </c:pt>
                <c:pt idx="45">
                  <c:v>7.6499548744131771E-2</c:v>
                </c:pt>
                <c:pt idx="46">
                  <c:v>4.7186776085289442E-2</c:v>
                </c:pt>
                <c:pt idx="47">
                  <c:v>5.5785116748088781E-2</c:v>
                </c:pt>
                <c:pt idx="48">
                  <c:v>0.24617912739563325</c:v>
                </c:pt>
                <c:pt idx="49">
                  <c:v>0.23208596785638105</c:v>
                </c:pt>
                <c:pt idx="50">
                  <c:v>0.23360659287827851</c:v>
                </c:pt>
                <c:pt idx="51">
                  <c:v>5.6031716566863246E-2</c:v>
                </c:pt>
                <c:pt idx="52">
                  <c:v>-8.2317705114032913E-2</c:v>
                </c:pt>
                <c:pt idx="53">
                  <c:v>-0.11105013217177337</c:v>
                </c:pt>
                <c:pt idx="54">
                  <c:v>-9.6311823741287425E-2</c:v>
                </c:pt>
                <c:pt idx="55">
                  <c:v>5.3275160139884162E-2</c:v>
                </c:pt>
              </c:numCache>
            </c:numRef>
          </c:val>
          <c:smooth val="0"/>
          <c:extLst>
            <c:ext xmlns:c16="http://schemas.microsoft.com/office/drawing/2014/chart" uri="{C3380CC4-5D6E-409C-BE32-E72D297353CC}">
              <c16:uniqueId val="{00000000-C8FE-4D04-A579-904E3CBA55B8}"/>
            </c:ext>
          </c:extLst>
        </c:ser>
        <c:dLbls>
          <c:showLegendKey val="0"/>
          <c:showVal val="0"/>
          <c:showCatName val="0"/>
          <c:showSerName val="0"/>
          <c:showPercent val="0"/>
          <c:showBubbleSize val="0"/>
        </c:dLbls>
        <c:smooth val="0"/>
        <c:axId val="2131759663"/>
        <c:axId val="1508710879"/>
      </c:lineChart>
      <c:dateAx>
        <c:axId val="2131759663"/>
        <c:scaling>
          <c:orientation val="minMax"/>
        </c:scaling>
        <c:delete val="1"/>
        <c:axPos val="b"/>
        <c:numFmt formatCode="m/d/yyyy" sourceLinked="1"/>
        <c:majorTickMark val="out"/>
        <c:minorTickMark val="none"/>
        <c:tickLblPos val="nextTo"/>
        <c:crossAx val="1508710879"/>
        <c:crosses val="autoZero"/>
        <c:auto val="1"/>
        <c:lblOffset val="100"/>
        <c:baseTimeUnit val="months"/>
      </c:dateAx>
      <c:valAx>
        <c:axId val="1508710879"/>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75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525780</xdr:colOff>
      <xdr:row>1</xdr:row>
      <xdr:rowOff>175260</xdr:rowOff>
    </xdr:from>
    <xdr:to>
      <xdr:col>11</xdr:col>
      <xdr:colOff>220980</xdr:colOff>
      <xdr:row>16</xdr:row>
      <xdr:rowOff>152400</xdr:rowOff>
    </xdr:to>
    <xdr:graphicFrame macro="">
      <xdr:nvGraphicFramePr>
        <xdr:cNvPr id="2" name="Chart 1">
          <a:extLst>
            <a:ext uri="{FF2B5EF4-FFF2-40B4-BE49-F238E27FC236}">
              <a16:creationId xmlns:a16="http://schemas.microsoft.com/office/drawing/2014/main" id="{BA8A3875-09FC-BCC8-0B5B-C65950FC9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403413</xdr:colOff>
      <xdr:row>27</xdr:row>
      <xdr:rowOff>26893</xdr:rowOff>
    </xdr:from>
    <xdr:to>
      <xdr:col>11</xdr:col>
      <xdr:colOff>986118</xdr:colOff>
      <xdr:row>46</xdr:row>
      <xdr:rowOff>8963</xdr:rowOff>
    </xdr:to>
    <xdr:graphicFrame macro="">
      <xdr:nvGraphicFramePr>
        <xdr:cNvPr id="5" name="Chart 4">
          <a:extLst>
            <a:ext uri="{FF2B5EF4-FFF2-40B4-BE49-F238E27FC236}">
              <a16:creationId xmlns:a16="http://schemas.microsoft.com/office/drawing/2014/main" id="{3B63295D-B970-5944-60C1-A646FB8A6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124609</xdr:colOff>
      <xdr:row>1</xdr:row>
      <xdr:rowOff>149711</xdr:rowOff>
    </xdr:from>
    <xdr:to>
      <xdr:col>19</xdr:col>
      <xdr:colOff>543821</xdr:colOff>
      <xdr:row>21</xdr:row>
      <xdr:rowOff>159236</xdr:rowOff>
    </xdr:to>
    <xdr:graphicFrame macro="">
      <xdr:nvGraphicFramePr>
        <xdr:cNvPr id="2" name="Chart 1">
          <a:extLst>
            <a:ext uri="{FF2B5EF4-FFF2-40B4-BE49-F238E27FC236}">
              <a16:creationId xmlns:a16="http://schemas.microsoft.com/office/drawing/2014/main" id="{A8463F7D-877B-3C15-3E1F-12C195734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80684</xdr:colOff>
      <xdr:row>6</xdr:row>
      <xdr:rowOff>53788</xdr:rowOff>
    </xdr:from>
    <xdr:to>
      <xdr:col>9</xdr:col>
      <xdr:colOff>17930</xdr:colOff>
      <xdr:row>21</xdr:row>
      <xdr:rowOff>53788</xdr:rowOff>
    </xdr:to>
    <xdr:graphicFrame macro="">
      <xdr:nvGraphicFramePr>
        <xdr:cNvPr id="2" name="Chart 1">
          <a:extLst>
            <a:ext uri="{FF2B5EF4-FFF2-40B4-BE49-F238E27FC236}">
              <a16:creationId xmlns:a16="http://schemas.microsoft.com/office/drawing/2014/main" id="{6C1B2969-4559-4930-AFB0-C15903547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358588</xdr:colOff>
      <xdr:row>6</xdr:row>
      <xdr:rowOff>62752</xdr:rowOff>
    </xdr:from>
    <xdr:to>
      <xdr:col>2</xdr:col>
      <xdr:colOff>21179</xdr:colOff>
      <xdr:row>19</xdr:row>
      <xdr:rowOff>131221</xdr:rowOff>
    </xdr:to>
    <mc:AlternateContent xmlns:mc="http://schemas.openxmlformats.org/markup-compatibility/2006" xmlns:a14="http://schemas.microsoft.com/office/drawing/2010/main">
      <mc:Choice Requires="a14">
        <xdr:graphicFrame macro="">
          <xdr:nvGraphicFramePr>
            <xdr:cNvPr id="5" name="county">
              <a:extLst>
                <a:ext uri="{FF2B5EF4-FFF2-40B4-BE49-F238E27FC236}">
                  <a16:creationId xmlns:a16="http://schemas.microsoft.com/office/drawing/2014/main" id="{4BBB3C9C-3447-4CFB-9315-68F0538F745A}"/>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358588" y="1377202"/>
              <a:ext cx="1820956" cy="2415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130520</xdr:colOff>
      <xdr:row>6</xdr:row>
      <xdr:rowOff>71579</xdr:rowOff>
    </xdr:from>
    <xdr:to>
      <xdr:col>16</xdr:col>
      <xdr:colOff>351389</xdr:colOff>
      <xdr:row>34</xdr:row>
      <xdr:rowOff>60708</xdr:rowOff>
    </xdr:to>
    <xdr:graphicFrame macro="">
      <xdr:nvGraphicFramePr>
        <xdr:cNvPr id="6" name="Chart 5">
          <a:extLst>
            <a:ext uri="{FF2B5EF4-FFF2-40B4-BE49-F238E27FC236}">
              <a16:creationId xmlns:a16="http://schemas.microsoft.com/office/drawing/2014/main" id="{56C8A4B1-06FA-418A-8033-EAE58F0FE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21</xdr:row>
      <xdr:rowOff>38100</xdr:rowOff>
    </xdr:from>
    <xdr:to>
      <xdr:col>8</xdr:col>
      <xdr:colOff>600075</xdr:colOff>
      <xdr:row>34</xdr:row>
      <xdr:rowOff>123825</xdr:rowOff>
    </xdr:to>
    <xdr:graphicFrame macro="">
      <xdr:nvGraphicFramePr>
        <xdr:cNvPr id="7" name="Chart 6">
          <a:extLst>
            <a:ext uri="{FF2B5EF4-FFF2-40B4-BE49-F238E27FC236}">
              <a16:creationId xmlns:a16="http://schemas.microsoft.com/office/drawing/2014/main" id="{27269DE4-7ED5-47EE-A8FE-6AC63A318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371475</xdr:colOff>
      <xdr:row>20</xdr:row>
      <xdr:rowOff>66675</xdr:rowOff>
    </xdr:from>
    <xdr:to>
      <xdr:col>2</xdr:col>
      <xdr:colOff>53340</xdr:colOff>
      <xdr:row>34</xdr:row>
      <xdr:rowOff>0</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87EED0CF-42AA-4384-BE03-91A19945173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71475" y="39147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5989.889665046299" createdVersion="8" refreshedVersion="8" minRefreshableVersion="3" recordCount="501" xr:uid="{8205DB8B-384E-4ACA-A09F-C874C63DFAF3}">
  <cacheSource type="worksheet">
    <worksheetSource ref="A1:O502" sheet="colorado_motor_vehicle_sales "/>
  </cacheSource>
  <cacheFields count="9">
    <cacheField name="year" numFmtId="0">
      <sharedItems containsSemiMixedTypes="0" containsString="0" containsNumber="1" containsInteger="1" minValue="2008" maxValue="2015" count="8">
        <n v="2008"/>
        <n v="2009"/>
        <n v="2010"/>
        <n v="2011"/>
        <n v="2012"/>
        <n v="2013"/>
        <n v="2014"/>
        <n v="2015"/>
      </sharedItems>
    </cacheField>
    <cacheField name="quarter" numFmtId="0">
      <sharedItems containsSemiMixedTypes="0" containsString="0" containsNumber="1" containsInteger="1" minValue="1" maxValue="4" count="4">
        <n v="1"/>
        <n v="2"/>
        <n v="3"/>
        <n v="4"/>
      </sharedItems>
    </cacheField>
    <cacheField name="county" numFmtId="0">
      <sharedItems count="17">
        <s v="Adams"/>
        <s v="Arapahoe"/>
        <s v="Boulder/Broomfield"/>
        <s v="Denver"/>
        <s v="Douglas"/>
        <s v="El Paso"/>
        <s v="Fremont"/>
        <s v="Garfield"/>
        <s v="Jefferson"/>
        <s v="La Plata"/>
        <s v="Larimer"/>
        <s v="Mesa"/>
        <s v="Pueblo"/>
        <s v="Weld"/>
        <s v="Boulder"/>
        <s v="Broomfield"/>
        <s v="Rest of State"/>
      </sharedItems>
    </cacheField>
    <cacheField name="sales" numFmtId="0">
      <sharedItems containsSemiMixedTypes="0" containsString="0" containsNumber="1" containsInteger="1" minValue="6274000" maxValue="916910000"/>
    </cacheField>
    <cacheField name="Period" numFmtId="0">
      <sharedItems count="32">
        <s v="2008 Q1"/>
        <s v="2008 Q2"/>
        <s v="2008 Q3"/>
        <s v="2008 Q4"/>
        <s v="2009 Q1"/>
        <s v="2009 Q2"/>
        <s v="2009 Q3"/>
        <s v="2009 Q4"/>
        <s v="2010 Q1"/>
        <s v="2010 Q2"/>
        <s v="2010 Q3"/>
        <s v="2010 Q4"/>
        <s v="2011 Q1"/>
        <s v="2011 Q2"/>
        <s v="2011 Q3"/>
        <s v="2011 Q4"/>
        <s v="2012 Q1"/>
        <s v="2012 Q2"/>
        <s v="2012 Q3"/>
        <s v="2012 Q4"/>
        <s v="2013 Q1"/>
        <s v="2013 Q2"/>
        <s v="2013 Q3"/>
        <s v="2013 Q4"/>
        <s v="2014 Q1"/>
        <s v="2014 Q2"/>
        <s v="2014 Q3"/>
        <s v="2014 Q4"/>
        <s v="2015 Q1"/>
        <s v="2015 Q2"/>
        <s v="2015 Q3"/>
        <s v="2015 Q4"/>
      </sharedItems>
    </cacheField>
    <cacheField name="Date" numFmtId="14">
      <sharedItems containsSemiMixedTypes="0" containsNonDate="0" containsDate="1" containsString="0" minDate="2008-01-01T00:00:00" maxDate="2015-10-02T00:00:00" count="32">
        <d v="2008-01-01T00:00:00"/>
        <d v="2008-04-01T00:00:00"/>
        <d v="2008-07-01T00:00:00"/>
        <d v="2008-10-01T00:00:00"/>
        <d v="2009-01-01T00:00:00"/>
        <d v="2009-04-01T00:00:00"/>
        <d v="2009-07-01T00:00:00"/>
        <d v="2009-10-01T00:00:00"/>
        <d v="2010-01-01T00:00:00"/>
        <d v="2010-04-01T00:00:00"/>
        <d v="2010-07-01T00:00:00"/>
        <d v="2010-10-01T00:00:00"/>
        <d v="2011-01-01T00:00:00"/>
        <d v="2011-04-01T00:00:00"/>
        <d v="2011-07-01T00:00:00"/>
        <d v="2011-10-01T00:00:00"/>
        <d v="2012-01-01T00:00:00"/>
        <d v="2012-04-01T00:00:00"/>
        <d v="2012-07-01T00:00:00"/>
        <d v="2012-10-01T00:00:00"/>
        <d v="2013-01-01T00:00:00"/>
        <d v="2013-04-01T00:00:00"/>
        <d v="2013-07-01T00:00:00"/>
        <d v="2013-10-01T00:00:00"/>
        <d v="2014-01-01T00:00:00"/>
        <d v="2014-04-01T00:00:00"/>
        <d v="2014-07-01T00:00:00"/>
        <d v="2014-10-01T00:00:00"/>
        <d v="2015-01-01T00:00:00"/>
        <d v="2015-04-01T00:00:00"/>
        <d v="2015-07-01T00:00:00"/>
        <d v="2015-10-01T00:00:00"/>
      </sharedItems>
      <fieldGroup par="8"/>
    </cacheField>
    <cacheField name="Months (Date)" numFmtId="0" databaseField="0">
      <fieldGroup base="5">
        <rangePr groupBy="months" startDate="2008-01-01T00:00:00" endDate="2015-10-02T00:00:00"/>
        <groupItems count="14">
          <s v="&lt;01-01-2008"/>
          <s v="Jan"/>
          <s v="Feb"/>
          <s v="Mar"/>
          <s v="Apr"/>
          <s v="May"/>
          <s v="Jun"/>
          <s v="Jul"/>
          <s v="Aug"/>
          <s v="Sep"/>
          <s v="Oct"/>
          <s v="Nov"/>
          <s v="Dec"/>
          <s v="&gt;02-10-2015"/>
        </groupItems>
      </fieldGroup>
    </cacheField>
    <cacheField name="Quarters (Date)" numFmtId="0" databaseField="0">
      <fieldGroup base="5">
        <rangePr groupBy="quarters" startDate="2008-01-01T00:00:00" endDate="2015-10-02T00:00:00"/>
        <groupItems count="6">
          <s v="&lt;01-01-2008"/>
          <s v="Qtr1"/>
          <s v="Qtr2"/>
          <s v="Qtr3"/>
          <s v="Qtr4"/>
          <s v="&gt;02-10-2015"/>
        </groupItems>
      </fieldGroup>
    </cacheField>
    <cacheField name="Years (Date)" numFmtId="0" databaseField="0">
      <fieldGroup base="5">
        <rangePr groupBy="years" startDate="2008-01-01T00:00:00" endDate="2015-10-02T00:00:00"/>
        <groupItems count="10">
          <s v="&lt;01-01-2008"/>
          <s v="2008"/>
          <s v="2009"/>
          <s v="2010"/>
          <s v="2011"/>
          <s v="2012"/>
          <s v="2013"/>
          <s v="2014"/>
          <s v="2015"/>
          <s v="&gt;02-10-2015"/>
        </groupItems>
      </fieldGroup>
    </cacheField>
  </cacheFields>
  <extLst>
    <ext xmlns:x14="http://schemas.microsoft.com/office/spreadsheetml/2009/9/main" uri="{725AE2AE-9491-48be-B2B4-4EB974FC3084}">
      <x14:pivotCacheDefinition pivotCacheId="842581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x v="0"/>
    <x v="0"/>
    <n v="231609000"/>
    <x v="0"/>
    <x v="0"/>
  </r>
  <r>
    <x v="0"/>
    <x v="0"/>
    <x v="1"/>
    <n v="550378000"/>
    <x v="0"/>
    <x v="0"/>
  </r>
  <r>
    <x v="0"/>
    <x v="0"/>
    <x v="2"/>
    <n v="176771000"/>
    <x v="0"/>
    <x v="0"/>
  </r>
  <r>
    <x v="0"/>
    <x v="0"/>
    <x v="3"/>
    <n v="200103000"/>
    <x v="0"/>
    <x v="0"/>
  </r>
  <r>
    <x v="0"/>
    <x v="0"/>
    <x v="4"/>
    <n v="93259000"/>
    <x v="0"/>
    <x v="0"/>
  </r>
  <r>
    <x v="0"/>
    <x v="0"/>
    <x v="5"/>
    <n v="325737000"/>
    <x v="0"/>
    <x v="0"/>
  </r>
  <r>
    <x v="0"/>
    <x v="0"/>
    <x v="6"/>
    <n v="9911000"/>
    <x v="0"/>
    <x v="0"/>
  </r>
  <r>
    <x v="0"/>
    <x v="0"/>
    <x v="7"/>
    <n v="55701000"/>
    <x v="0"/>
    <x v="0"/>
  </r>
  <r>
    <x v="0"/>
    <x v="0"/>
    <x v="8"/>
    <n v="277611000"/>
    <x v="0"/>
    <x v="0"/>
  </r>
  <r>
    <x v="0"/>
    <x v="0"/>
    <x v="9"/>
    <n v="19558000"/>
    <x v="0"/>
    <x v="0"/>
  </r>
  <r>
    <x v="0"/>
    <x v="0"/>
    <x v="10"/>
    <n v="141852000"/>
    <x v="0"/>
    <x v="0"/>
  </r>
  <r>
    <x v="0"/>
    <x v="0"/>
    <x v="11"/>
    <n v="98293000"/>
    <x v="0"/>
    <x v="0"/>
  </r>
  <r>
    <x v="0"/>
    <x v="0"/>
    <x v="12"/>
    <n v="68268000"/>
    <x v="0"/>
    <x v="0"/>
  </r>
  <r>
    <x v="0"/>
    <x v="0"/>
    <x v="13"/>
    <n v="158501000"/>
    <x v="0"/>
    <x v="0"/>
  </r>
  <r>
    <x v="0"/>
    <x v="1"/>
    <x v="0"/>
    <n v="241925000"/>
    <x v="1"/>
    <x v="1"/>
  </r>
  <r>
    <x v="0"/>
    <x v="1"/>
    <x v="1"/>
    <n v="585224000"/>
    <x v="1"/>
    <x v="1"/>
  </r>
  <r>
    <x v="0"/>
    <x v="1"/>
    <x v="2"/>
    <n v="181959000"/>
    <x v="1"/>
    <x v="1"/>
  </r>
  <r>
    <x v="0"/>
    <x v="1"/>
    <x v="3"/>
    <n v="195965000"/>
    <x v="1"/>
    <x v="1"/>
  </r>
  <r>
    <x v="0"/>
    <x v="1"/>
    <x v="4"/>
    <n v="88128000"/>
    <x v="1"/>
    <x v="1"/>
  </r>
  <r>
    <x v="0"/>
    <x v="1"/>
    <x v="5"/>
    <n v="323709000"/>
    <x v="1"/>
    <x v="1"/>
  </r>
  <r>
    <x v="0"/>
    <x v="1"/>
    <x v="6"/>
    <n v="8924000"/>
    <x v="1"/>
    <x v="1"/>
  </r>
  <r>
    <x v="0"/>
    <x v="1"/>
    <x v="7"/>
    <n v="55206000"/>
    <x v="1"/>
    <x v="1"/>
  </r>
  <r>
    <x v="0"/>
    <x v="1"/>
    <x v="8"/>
    <n v="257538000"/>
    <x v="1"/>
    <x v="1"/>
  </r>
  <r>
    <x v="0"/>
    <x v="1"/>
    <x v="9"/>
    <n v="28064000"/>
    <x v="1"/>
    <x v="1"/>
  </r>
  <r>
    <x v="0"/>
    <x v="1"/>
    <x v="10"/>
    <n v="145702000"/>
    <x v="1"/>
    <x v="1"/>
  </r>
  <r>
    <x v="0"/>
    <x v="1"/>
    <x v="11"/>
    <n v="93063000"/>
    <x v="1"/>
    <x v="1"/>
  </r>
  <r>
    <x v="0"/>
    <x v="1"/>
    <x v="12"/>
    <n v="65405000"/>
    <x v="1"/>
    <x v="1"/>
  </r>
  <r>
    <x v="0"/>
    <x v="1"/>
    <x v="13"/>
    <n v="157124000"/>
    <x v="1"/>
    <x v="1"/>
  </r>
  <r>
    <x v="0"/>
    <x v="2"/>
    <x v="0"/>
    <n v="204716000"/>
    <x v="2"/>
    <x v="2"/>
  </r>
  <r>
    <x v="0"/>
    <x v="2"/>
    <x v="1"/>
    <n v="538296000"/>
    <x v="2"/>
    <x v="2"/>
  </r>
  <r>
    <x v="0"/>
    <x v="2"/>
    <x v="2"/>
    <n v="178686000"/>
    <x v="2"/>
    <x v="2"/>
  </r>
  <r>
    <x v="0"/>
    <x v="2"/>
    <x v="3"/>
    <n v="189433000"/>
    <x v="2"/>
    <x v="2"/>
  </r>
  <r>
    <x v="0"/>
    <x v="2"/>
    <x v="4"/>
    <n v="89219000"/>
    <x v="2"/>
    <x v="2"/>
  </r>
  <r>
    <x v="0"/>
    <x v="2"/>
    <x v="5"/>
    <n v="299526000"/>
    <x v="2"/>
    <x v="2"/>
  </r>
  <r>
    <x v="0"/>
    <x v="2"/>
    <x v="6"/>
    <n v="8305000"/>
    <x v="2"/>
    <x v="2"/>
  </r>
  <r>
    <x v="0"/>
    <x v="2"/>
    <x v="7"/>
    <n v="53712000"/>
    <x v="2"/>
    <x v="2"/>
  </r>
  <r>
    <x v="0"/>
    <x v="2"/>
    <x v="8"/>
    <n v="264152000"/>
    <x v="2"/>
    <x v="2"/>
  </r>
  <r>
    <x v="0"/>
    <x v="2"/>
    <x v="9"/>
    <n v="24572000"/>
    <x v="2"/>
    <x v="2"/>
  </r>
  <r>
    <x v="0"/>
    <x v="2"/>
    <x v="10"/>
    <n v="136008000"/>
    <x v="2"/>
    <x v="2"/>
  </r>
  <r>
    <x v="0"/>
    <x v="2"/>
    <x v="11"/>
    <n v="93417000"/>
    <x v="2"/>
    <x v="2"/>
  </r>
  <r>
    <x v="0"/>
    <x v="2"/>
    <x v="12"/>
    <n v="70123000"/>
    <x v="2"/>
    <x v="2"/>
  </r>
  <r>
    <x v="0"/>
    <x v="2"/>
    <x v="13"/>
    <n v="150376000"/>
    <x v="2"/>
    <x v="2"/>
  </r>
  <r>
    <x v="0"/>
    <x v="3"/>
    <x v="0"/>
    <n v="162708000"/>
    <x v="3"/>
    <x v="3"/>
  </r>
  <r>
    <x v="0"/>
    <x v="3"/>
    <x v="1"/>
    <n v="419014000"/>
    <x v="3"/>
    <x v="3"/>
  </r>
  <r>
    <x v="0"/>
    <x v="3"/>
    <x v="2"/>
    <n v="139785000"/>
    <x v="3"/>
    <x v="3"/>
  </r>
  <r>
    <x v="0"/>
    <x v="3"/>
    <x v="3"/>
    <n v="167851000"/>
    <x v="3"/>
    <x v="3"/>
  </r>
  <r>
    <x v="0"/>
    <x v="3"/>
    <x v="4"/>
    <n v="79520000"/>
    <x v="3"/>
    <x v="3"/>
  </r>
  <r>
    <x v="0"/>
    <x v="3"/>
    <x v="5"/>
    <n v="253344000"/>
    <x v="3"/>
    <x v="3"/>
  </r>
  <r>
    <x v="0"/>
    <x v="3"/>
    <x v="6"/>
    <n v="7421000"/>
    <x v="3"/>
    <x v="3"/>
  </r>
  <r>
    <x v="0"/>
    <x v="3"/>
    <x v="7"/>
    <n v="42038000"/>
    <x v="3"/>
    <x v="3"/>
  </r>
  <r>
    <x v="0"/>
    <x v="3"/>
    <x v="8"/>
    <n v="202184000"/>
    <x v="3"/>
    <x v="3"/>
  </r>
  <r>
    <x v="0"/>
    <x v="3"/>
    <x v="9"/>
    <n v="18102000"/>
    <x v="3"/>
    <x v="3"/>
  </r>
  <r>
    <x v="0"/>
    <x v="3"/>
    <x v="10"/>
    <n v="105258000"/>
    <x v="3"/>
    <x v="3"/>
  </r>
  <r>
    <x v="0"/>
    <x v="3"/>
    <x v="11"/>
    <n v="67162000"/>
    <x v="3"/>
    <x v="3"/>
  </r>
  <r>
    <x v="0"/>
    <x v="3"/>
    <x v="12"/>
    <n v="55708000"/>
    <x v="3"/>
    <x v="3"/>
  </r>
  <r>
    <x v="0"/>
    <x v="3"/>
    <x v="13"/>
    <n v="109437000"/>
    <x v="3"/>
    <x v="3"/>
  </r>
  <r>
    <x v="1"/>
    <x v="0"/>
    <x v="0"/>
    <n v="147150000"/>
    <x v="4"/>
    <x v="4"/>
  </r>
  <r>
    <x v="1"/>
    <x v="0"/>
    <x v="1"/>
    <n v="365064000"/>
    <x v="4"/>
    <x v="4"/>
  </r>
  <r>
    <x v="1"/>
    <x v="0"/>
    <x v="14"/>
    <n v="103053000"/>
    <x v="4"/>
    <x v="4"/>
  </r>
  <r>
    <x v="1"/>
    <x v="0"/>
    <x v="15"/>
    <n v="22194000"/>
    <x v="4"/>
    <x v="4"/>
  </r>
  <r>
    <x v="1"/>
    <x v="0"/>
    <x v="3"/>
    <n v="162119000"/>
    <x v="4"/>
    <x v="4"/>
  </r>
  <r>
    <x v="1"/>
    <x v="0"/>
    <x v="4"/>
    <n v="64458000"/>
    <x v="4"/>
    <x v="4"/>
  </r>
  <r>
    <x v="1"/>
    <x v="0"/>
    <x v="5"/>
    <n v="247017000"/>
    <x v="4"/>
    <x v="4"/>
  </r>
  <r>
    <x v="1"/>
    <x v="0"/>
    <x v="6"/>
    <n v="6274000"/>
    <x v="4"/>
    <x v="4"/>
  </r>
  <r>
    <x v="1"/>
    <x v="0"/>
    <x v="7"/>
    <n v="31249000"/>
    <x v="4"/>
    <x v="4"/>
  </r>
  <r>
    <x v="1"/>
    <x v="0"/>
    <x v="8"/>
    <n v="181200000"/>
    <x v="4"/>
    <x v="4"/>
  </r>
  <r>
    <x v="1"/>
    <x v="0"/>
    <x v="9"/>
    <n v="16302000"/>
    <x v="4"/>
    <x v="4"/>
  </r>
  <r>
    <x v="1"/>
    <x v="0"/>
    <x v="10"/>
    <n v="95235000"/>
    <x v="4"/>
    <x v="4"/>
  </r>
  <r>
    <x v="1"/>
    <x v="0"/>
    <x v="11"/>
    <n v="64698000"/>
    <x v="4"/>
    <x v="4"/>
  </r>
  <r>
    <x v="1"/>
    <x v="0"/>
    <x v="12"/>
    <n v="55351000"/>
    <x v="4"/>
    <x v="4"/>
  </r>
  <r>
    <x v="1"/>
    <x v="0"/>
    <x v="13"/>
    <n v="95791000"/>
    <x v="4"/>
    <x v="4"/>
  </r>
  <r>
    <x v="1"/>
    <x v="1"/>
    <x v="0"/>
    <n v="172276000"/>
    <x v="5"/>
    <x v="5"/>
  </r>
  <r>
    <x v="1"/>
    <x v="1"/>
    <x v="1"/>
    <n v="417140000"/>
    <x v="5"/>
    <x v="5"/>
  </r>
  <r>
    <x v="1"/>
    <x v="1"/>
    <x v="14"/>
    <n v="112752000"/>
    <x v="5"/>
    <x v="5"/>
  </r>
  <r>
    <x v="1"/>
    <x v="1"/>
    <x v="15"/>
    <n v="28191000"/>
    <x v="5"/>
    <x v="5"/>
  </r>
  <r>
    <x v="1"/>
    <x v="1"/>
    <x v="3"/>
    <n v="178819000"/>
    <x v="5"/>
    <x v="5"/>
  </r>
  <r>
    <x v="1"/>
    <x v="1"/>
    <x v="4"/>
    <n v="75080000"/>
    <x v="5"/>
    <x v="5"/>
  </r>
  <r>
    <x v="1"/>
    <x v="1"/>
    <x v="5"/>
    <n v="258889000"/>
    <x v="5"/>
    <x v="5"/>
  </r>
  <r>
    <x v="1"/>
    <x v="1"/>
    <x v="6"/>
    <n v="6770000"/>
    <x v="5"/>
    <x v="5"/>
  </r>
  <r>
    <x v="1"/>
    <x v="1"/>
    <x v="7"/>
    <n v="33571000"/>
    <x v="5"/>
    <x v="5"/>
  </r>
  <r>
    <x v="1"/>
    <x v="1"/>
    <x v="8"/>
    <n v="196617000"/>
    <x v="5"/>
    <x v="5"/>
  </r>
  <r>
    <x v="1"/>
    <x v="1"/>
    <x v="9"/>
    <n v="17518000"/>
    <x v="5"/>
    <x v="5"/>
  </r>
  <r>
    <x v="1"/>
    <x v="1"/>
    <x v="10"/>
    <n v="100387000"/>
    <x v="5"/>
    <x v="5"/>
  </r>
  <r>
    <x v="1"/>
    <x v="1"/>
    <x v="11"/>
    <n v="63092000"/>
    <x v="5"/>
    <x v="5"/>
  </r>
  <r>
    <x v="1"/>
    <x v="1"/>
    <x v="12"/>
    <n v="56701000"/>
    <x v="5"/>
    <x v="5"/>
  </r>
  <r>
    <x v="1"/>
    <x v="1"/>
    <x v="13"/>
    <n v="109147000"/>
    <x v="5"/>
    <x v="5"/>
  </r>
  <r>
    <x v="1"/>
    <x v="2"/>
    <x v="0"/>
    <n v="209599000"/>
    <x v="6"/>
    <x v="6"/>
  </r>
  <r>
    <x v="1"/>
    <x v="2"/>
    <x v="1"/>
    <n v="559316000"/>
    <x v="6"/>
    <x v="6"/>
  </r>
  <r>
    <x v="1"/>
    <x v="2"/>
    <x v="14"/>
    <n v="138918000"/>
    <x v="6"/>
    <x v="6"/>
  </r>
  <r>
    <x v="1"/>
    <x v="2"/>
    <x v="15"/>
    <n v="31291000"/>
    <x v="6"/>
    <x v="6"/>
  </r>
  <r>
    <x v="1"/>
    <x v="2"/>
    <x v="3"/>
    <n v="194231000"/>
    <x v="6"/>
    <x v="6"/>
  </r>
  <r>
    <x v="1"/>
    <x v="2"/>
    <x v="4"/>
    <n v="71260000"/>
    <x v="6"/>
    <x v="6"/>
  </r>
  <r>
    <x v="1"/>
    <x v="2"/>
    <x v="5"/>
    <n v="325340000"/>
    <x v="6"/>
    <x v="6"/>
  </r>
  <r>
    <x v="1"/>
    <x v="2"/>
    <x v="6"/>
    <n v="9879000"/>
    <x v="6"/>
    <x v="6"/>
  </r>
  <r>
    <x v="1"/>
    <x v="2"/>
    <x v="7"/>
    <n v="37634000"/>
    <x v="6"/>
    <x v="6"/>
  </r>
  <r>
    <x v="1"/>
    <x v="2"/>
    <x v="8"/>
    <n v="227989000"/>
    <x v="6"/>
    <x v="6"/>
  </r>
  <r>
    <x v="1"/>
    <x v="2"/>
    <x v="9"/>
    <n v="19444000"/>
    <x v="6"/>
    <x v="6"/>
  </r>
  <r>
    <x v="1"/>
    <x v="2"/>
    <x v="10"/>
    <n v="138582000"/>
    <x v="6"/>
    <x v="6"/>
  </r>
  <r>
    <x v="1"/>
    <x v="2"/>
    <x v="11"/>
    <n v="69293000"/>
    <x v="6"/>
    <x v="6"/>
  </r>
  <r>
    <x v="1"/>
    <x v="2"/>
    <x v="12"/>
    <n v="66050000"/>
    <x v="6"/>
    <x v="6"/>
  </r>
  <r>
    <x v="1"/>
    <x v="2"/>
    <x v="13"/>
    <n v="124297000"/>
    <x v="6"/>
    <x v="6"/>
  </r>
  <r>
    <x v="1"/>
    <x v="3"/>
    <x v="0"/>
    <n v="160889000"/>
    <x v="7"/>
    <x v="7"/>
  </r>
  <r>
    <x v="1"/>
    <x v="3"/>
    <x v="1"/>
    <n v="446441000"/>
    <x v="7"/>
    <x v="7"/>
  </r>
  <r>
    <x v="1"/>
    <x v="3"/>
    <x v="14"/>
    <n v="116696000"/>
    <x v="7"/>
    <x v="7"/>
  </r>
  <r>
    <x v="1"/>
    <x v="3"/>
    <x v="15"/>
    <n v="25169000"/>
    <x v="7"/>
    <x v="7"/>
  </r>
  <r>
    <x v="1"/>
    <x v="3"/>
    <x v="3"/>
    <n v="178906000"/>
    <x v="7"/>
    <x v="7"/>
  </r>
  <r>
    <x v="1"/>
    <x v="3"/>
    <x v="4"/>
    <n v="75200000"/>
    <x v="7"/>
    <x v="7"/>
  </r>
  <r>
    <x v="1"/>
    <x v="3"/>
    <x v="5"/>
    <n v="260771000"/>
    <x v="7"/>
    <x v="7"/>
  </r>
  <r>
    <x v="1"/>
    <x v="3"/>
    <x v="6"/>
    <n v="7676000"/>
    <x v="7"/>
    <x v="7"/>
  </r>
  <r>
    <x v="1"/>
    <x v="3"/>
    <x v="7"/>
    <n v="37662000"/>
    <x v="7"/>
    <x v="7"/>
  </r>
  <r>
    <x v="1"/>
    <x v="3"/>
    <x v="8"/>
    <n v="196565000"/>
    <x v="7"/>
    <x v="7"/>
  </r>
  <r>
    <x v="1"/>
    <x v="3"/>
    <x v="9"/>
    <n v="13793000"/>
    <x v="7"/>
    <x v="7"/>
  </r>
  <r>
    <x v="1"/>
    <x v="3"/>
    <x v="10"/>
    <n v="112837000"/>
    <x v="7"/>
    <x v="7"/>
  </r>
  <r>
    <x v="1"/>
    <x v="3"/>
    <x v="11"/>
    <n v="56587000"/>
    <x v="7"/>
    <x v="7"/>
  </r>
  <r>
    <x v="1"/>
    <x v="3"/>
    <x v="12"/>
    <n v="55988000"/>
    <x v="7"/>
    <x v="7"/>
  </r>
  <r>
    <x v="1"/>
    <x v="3"/>
    <x v="16"/>
    <n v="103359000"/>
    <x v="7"/>
    <x v="7"/>
  </r>
  <r>
    <x v="1"/>
    <x v="3"/>
    <x v="13"/>
    <n v="96733000"/>
    <x v="7"/>
    <x v="7"/>
  </r>
  <r>
    <x v="2"/>
    <x v="0"/>
    <x v="0"/>
    <n v="162936000"/>
    <x v="8"/>
    <x v="8"/>
  </r>
  <r>
    <x v="2"/>
    <x v="0"/>
    <x v="1"/>
    <n v="424138000"/>
    <x v="8"/>
    <x v="8"/>
  </r>
  <r>
    <x v="2"/>
    <x v="0"/>
    <x v="14"/>
    <n v="114599000"/>
    <x v="8"/>
    <x v="8"/>
  </r>
  <r>
    <x v="2"/>
    <x v="0"/>
    <x v="15"/>
    <n v="26093000"/>
    <x v="8"/>
    <x v="8"/>
  </r>
  <r>
    <x v="2"/>
    <x v="0"/>
    <x v="3"/>
    <n v="173248000"/>
    <x v="8"/>
    <x v="8"/>
  </r>
  <r>
    <x v="2"/>
    <x v="0"/>
    <x v="4"/>
    <n v="64458000"/>
    <x v="8"/>
    <x v="8"/>
  </r>
  <r>
    <x v="2"/>
    <x v="0"/>
    <x v="5"/>
    <n v="263662000"/>
    <x v="8"/>
    <x v="8"/>
  </r>
  <r>
    <x v="2"/>
    <x v="0"/>
    <x v="6"/>
    <n v="7131000"/>
    <x v="8"/>
    <x v="8"/>
  </r>
  <r>
    <x v="2"/>
    <x v="0"/>
    <x v="7"/>
    <n v="33238000"/>
    <x v="8"/>
    <x v="8"/>
  </r>
  <r>
    <x v="2"/>
    <x v="0"/>
    <x v="8"/>
    <n v="189394000"/>
    <x v="8"/>
    <x v="8"/>
  </r>
  <r>
    <x v="2"/>
    <x v="0"/>
    <x v="9"/>
    <n v="14969000"/>
    <x v="8"/>
    <x v="8"/>
  </r>
  <r>
    <x v="2"/>
    <x v="0"/>
    <x v="10"/>
    <n v="113568000"/>
    <x v="8"/>
    <x v="8"/>
  </r>
  <r>
    <x v="2"/>
    <x v="0"/>
    <x v="11"/>
    <n v="59703000"/>
    <x v="8"/>
    <x v="8"/>
  </r>
  <r>
    <x v="2"/>
    <x v="0"/>
    <x v="12"/>
    <n v="57222000"/>
    <x v="8"/>
    <x v="8"/>
  </r>
  <r>
    <x v="2"/>
    <x v="0"/>
    <x v="16"/>
    <n v="99930000"/>
    <x v="8"/>
    <x v="8"/>
  </r>
  <r>
    <x v="2"/>
    <x v="0"/>
    <x v="13"/>
    <n v="100290000"/>
    <x v="8"/>
    <x v="8"/>
  </r>
  <r>
    <x v="2"/>
    <x v="1"/>
    <x v="0"/>
    <n v="186061000"/>
    <x v="9"/>
    <x v="9"/>
  </r>
  <r>
    <x v="2"/>
    <x v="1"/>
    <x v="1"/>
    <n v="473095000"/>
    <x v="9"/>
    <x v="9"/>
  </r>
  <r>
    <x v="2"/>
    <x v="1"/>
    <x v="14"/>
    <n v="122586000"/>
    <x v="9"/>
    <x v="9"/>
  </r>
  <r>
    <x v="2"/>
    <x v="1"/>
    <x v="15"/>
    <n v="31190000"/>
    <x v="9"/>
    <x v="9"/>
  </r>
  <r>
    <x v="2"/>
    <x v="1"/>
    <x v="3"/>
    <n v="177831000"/>
    <x v="9"/>
    <x v="9"/>
  </r>
  <r>
    <x v="2"/>
    <x v="1"/>
    <x v="4"/>
    <n v="76050000"/>
    <x v="9"/>
    <x v="9"/>
  </r>
  <r>
    <x v="2"/>
    <x v="1"/>
    <x v="5"/>
    <n v="298879000"/>
    <x v="9"/>
    <x v="9"/>
  </r>
  <r>
    <x v="2"/>
    <x v="1"/>
    <x v="6"/>
    <n v="8805000"/>
    <x v="9"/>
    <x v="9"/>
  </r>
  <r>
    <x v="2"/>
    <x v="1"/>
    <x v="7"/>
    <n v="38899000"/>
    <x v="9"/>
    <x v="9"/>
  </r>
  <r>
    <x v="2"/>
    <x v="1"/>
    <x v="8"/>
    <n v="205826000"/>
    <x v="9"/>
    <x v="9"/>
  </r>
  <r>
    <x v="2"/>
    <x v="1"/>
    <x v="9"/>
    <n v="19055000"/>
    <x v="9"/>
    <x v="9"/>
  </r>
  <r>
    <x v="2"/>
    <x v="1"/>
    <x v="10"/>
    <n v="128564000"/>
    <x v="9"/>
    <x v="9"/>
  </r>
  <r>
    <x v="2"/>
    <x v="1"/>
    <x v="11"/>
    <n v="63419000"/>
    <x v="9"/>
    <x v="9"/>
  </r>
  <r>
    <x v="2"/>
    <x v="1"/>
    <x v="12"/>
    <n v="62284000"/>
    <x v="9"/>
    <x v="9"/>
  </r>
  <r>
    <x v="2"/>
    <x v="1"/>
    <x v="16"/>
    <n v="109550000"/>
    <x v="9"/>
    <x v="9"/>
  </r>
  <r>
    <x v="2"/>
    <x v="1"/>
    <x v="13"/>
    <n v="109448000"/>
    <x v="9"/>
    <x v="9"/>
  </r>
  <r>
    <x v="2"/>
    <x v="2"/>
    <x v="0"/>
    <n v="209599000"/>
    <x v="10"/>
    <x v="10"/>
  </r>
  <r>
    <x v="2"/>
    <x v="2"/>
    <x v="1"/>
    <n v="533267000"/>
    <x v="10"/>
    <x v="10"/>
  </r>
  <r>
    <x v="2"/>
    <x v="2"/>
    <x v="14"/>
    <n v="138918000"/>
    <x v="10"/>
    <x v="10"/>
  </r>
  <r>
    <x v="2"/>
    <x v="2"/>
    <x v="15"/>
    <n v="31291000"/>
    <x v="10"/>
    <x v="10"/>
  </r>
  <r>
    <x v="2"/>
    <x v="2"/>
    <x v="3"/>
    <n v="194231000"/>
    <x v="10"/>
    <x v="10"/>
  </r>
  <r>
    <x v="2"/>
    <x v="2"/>
    <x v="4"/>
    <n v="71558000"/>
    <x v="10"/>
    <x v="10"/>
  </r>
  <r>
    <x v="2"/>
    <x v="2"/>
    <x v="5"/>
    <n v="325653000"/>
    <x v="10"/>
    <x v="10"/>
  </r>
  <r>
    <x v="2"/>
    <x v="2"/>
    <x v="6"/>
    <n v="9879000"/>
    <x v="10"/>
    <x v="10"/>
  </r>
  <r>
    <x v="2"/>
    <x v="2"/>
    <x v="7"/>
    <n v="37634000"/>
    <x v="10"/>
    <x v="10"/>
  </r>
  <r>
    <x v="2"/>
    <x v="2"/>
    <x v="8"/>
    <n v="228001000"/>
    <x v="10"/>
    <x v="10"/>
  </r>
  <r>
    <x v="2"/>
    <x v="2"/>
    <x v="9"/>
    <n v="19444000"/>
    <x v="10"/>
    <x v="10"/>
  </r>
  <r>
    <x v="2"/>
    <x v="2"/>
    <x v="10"/>
    <n v="138622000"/>
    <x v="10"/>
    <x v="10"/>
  </r>
  <r>
    <x v="2"/>
    <x v="2"/>
    <x v="11"/>
    <n v="69293000"/>
    <x v="10"/>
    <x v="10"/>
  </r>
  <r>
    <x v="2"/>
    <x v="2"/>
    <x v="12"/>
    <n v="66162000"/>
    <x v="10"/>
    <x v="10"/>
  </r>
  <r>
    <x v="2"/>
    <x v="2"/>
    <x v="16"/>
    <n v="113584000"/>
    <x v="10"/>
    <x v="10"/>
  </r>
  <r>
    <x v="2"/>
    <x v="2"/>
    <x v="13"/>
    <n v="124095000"/>
    <x v="10"/>
    <x v="10"/>
  </r>
  <r>
    <x v="2"/>
    <x v="3"/>
    <x v="0"/>
    <n v="204953000"/>
    <x v="11"/>
    <x v="11"/>
  </r>
  <r>
    <x v="2"/>
    <x v="3"/>
    <x v="1"/>
    <n v="507461000"/>
    <x v="11"/>
    <x v="11"/>
  </r>
  <r>
    <x v="2"/>
    <x v="3"/>
    <x v="14"/>
    <n v="139359000"/>
    <x v="11"/>
    <x v="11"/>
  </r>
  <r>
    <x v="2"/>
    <x v="3"/>
    <x v="15"/>
    <n v="31475000"/>
    <x v="11"/>
    <x v="11"/>
  </r>
  <r>
    <x v="2"/>
    <x v="3"/>
    <x v="3"/>
    <n v="185413000"/>
    <x v="11"/>
    <x v="11"/>
  </r>
  <r>
    <x v="2"/>
    <x v="3"/>
    <x v="4"/>
    <n v="74958000"/>
    <x v="11"/>
    <x v="11"/>
  </r>
  <r>
    <x v="2"/>
    <x v="3"/>
    <x v="5"/>
    <n v="302807000"/>
    <x v="11"/>
    <x v="11"/>
  </r>
  <r>
    <x v="2"/>
    <x v="3"/>
    <x v="6"/>
    <n v="8884000"/>
    <x v="11"/>
    <x v="11"/>
  </r>
  <r>
    <x v="2"/>
    <x v="3"/>
    <x v="7"/>
    <n v="41261000"/>
    <x v="11"/>
    <x v="11"/>
  </r>
  <r>
    <x v="2"/>
    <x v="3"/>
    <x v="8"/>
    <n v="221631000"/>
    <x v="11"/>
    <x v="11"/>
  </r>
  <r>
    <x v="2"/>
    <x v="3"/>
    <x v="9"/>
    <n v="18571000"/>
    <x v="11"/>
    <x v="11"/>
  </r>
  <r>
    <x v="2"/>
    <x v="3"/>
    <x v="10"/>
    <n v="134169000"/>
    <x v="11"/>
    <x v="11"/>
  </r>
  <r>
    <x v="2"/>
    <x v="3"/>
    <x v="11"/>
    <n v="63590000"/>
    <x v="11"/>
    <x v="11"/>
  </r>
  <r>
    <x v="2"/>
    <x v="3"/>
    <x v="12"/>
    <n v="57896000"/>
    <x v="11"/>
    <x v="11"/>
  </r>
  <r>
    <x v="2"/>
    <x v="3"/>
    <x v="16"/>
    <n v="113729000"/>
    <x v="11"/>
    <x v="11"/>
  </r>
  <r>
    <x v="2"/>
    <x v="3"/>
    <x v="13"/>
    <n v="122579000"/>
    <x v="11"/>
    <x v="11"/>
  </r>
  <r>
    <x v="3"/>
    <x v="0"/>
    <x v="0"/>
    <n v="331909000"/>
    <x v="12"/>
    <x v="12"/>
  </r>
  <r>
    <x v="3"/>
    <x v="0"/>
    <x v="1"/>
    <n v="579448000"/>
    <x v="12"/>
    <x v="12"/>
  </r>
  <r>
    <x v="3"/>
    <x v="0"/>
    <x v="14"/>
    <n v="160967000"/>
    <x v="12"/>
    <x v="12"/>
  </r>
  <r>
    <x v="3"/>
    <x v="0"/>
    <x v="15"/>
    <n v="34361000"/>
    <x v="12"/>
    <x v="12"/>
  </r>
  <r>
    <x v="3"/>
    <x v="0"/>
    <x v="3"/>
    <n v="275731000"/>
    <x v="12"/>
    <x v="12"/>
  </r>
  <r>
    <x v="3"/>
    <x v="0"/>
    <x v="4"/>
    <n v="105475000"/>
    <x v="12"/>
    <x v="12"/>
  </r>
  <r>
    <x v="3"/>
    <x v="0"/>
    <x v="5"/>
    <n v="391992000"/>
    <x v="12"/>
    <x v="12"/>
  </r>
  <r>
    <x v="3"/>
    <x v="0"/>
    <x v="6"/>
    <n v="10808000"/>
    <x v="12"/>
    <x v="12"/>
  </r>
  <r>
    <x v="3"/>
    <x v="0"/>
    <x v="7"/>
    <n v="42849000"/>
    <x v="12"/>
    <x v="12"/>
  </r>
  <r>
    <x v="3"/>
    <x v="0"/>
    <x v="8"/>
    <n v="274646000"/>
    <x v="12"/>
    <x v="12"/>
  </r>
  <r>
    <x v="3"/>
    <x v="0"/>
    <x v="9"/>
    <n v="26433000"/>
    <x v="12"/>
    <x v="12"/>
  </r>
  <r>
    <x v="3"/>
    <x v="0"/>
    <x v="10"/>
    <n v="166547000"/>
    <x v="12"/>
    <x v="12"/>
  </r>
  <r>
    <x v="3"/>
    <x v="0"/>
    <x v="11"/>
    <n v="121092000"/>
    <x v="12"/>
    <x v="12"/>
  </r>
  <r>
    <x v="3"/>
    <x v="0"/>
    <x v="12"/>
    <n v="78558000"/>
    <x v="12"/>
    <x v="12"/>
  </r>
  <r>
    <x v="3"/>
    <x v="0"/>
    <x v="16"/>
    <n v="165769000"/>
    <x v="12"/>
    <x v="12"/>
  </r>
  <r>
    <x v="3"/>
    <x v="0"/>
    <x v="13"/>
    <n v="190563000"/>
    <x v="12"/>
    <x v="12"/>
  </r>
  <r>
    <x v="3"/>
    <x v="1"/>
    <x v="0"/>
    <n v="410532000"/>
    <x v="13"/>
    <x v="13"/>
  </r>
  <r>
    <x v="3"/>
    <x v="1"/>
    <x v="1"/>
    <n v="619123000"/>
    <x v="13"/>
    <x v="13"/>
  </r>
  <r>
    <x v="3"/>
    <x v="1"/>
    <x v="14"/>
    <n v="163277000"/>
    <x v="13"/>
    <x v="13"/>
  </r>
  <r>
    <x v="3"/>
    <x v="1"/>
    <x v="15"/>
    <n v="36984000"/>
    <x v="13"/>
    <x v="13"/>
  </r>
  <r>
    <x v="3"/>
    <x v="1"/>
    <x v="3"/>
    <n v="308349000"/>
    <x v="13"/>
    <x v="13"/>
  </r>
  <r>
    <x v="3"/>
    <x v="1"/>
    <x v="4"/>
    <n v="105964000"/>
    <x v="13"/>
    <x v="13"/>
  </r>
  <r>
    <x v="3"/>
    <x v="1"/>
    <x v="5"/>
    <n v="427489000"/>
    <x v="13"/>
    <x v="13"/>
  </r>
  <r>
    <x v="3"/>
    <x v="1"/>
    <x v="6"/>
    <n v="12926000"/>
    <x v="13"/>
    <x v="13"/>
  </r>
  <r>
    <x v="3"/>
    <x v="1"/>
    <x v="7"/>
    <n v="43098000"/>
    <x v="13"/>
    <x v="13"/>
  </r>
  <r>
    <x v="3"/>
    <x v="1"/>
    <x v="8"/>
    <n v="299753000"/>
    <x v="13"/>
    <x v="13"/>
  </r>
  <r>
    <x v="3"/>
    <x v="1"/>
    <x v="9"/>
    <n v="28807000"/>
    <x v="13"/>
    <x v="13"/>
  </r>
  <r>
    <x v="3"/>
    <x v="1"/>
    <x v="10"/>
    <n v="186875000"/>
    <x v="13"/>
    <x v="13"/>
  </r>
  <r>
    <x v="3"/>
    <x v="1"/>
    <x v="11"/>
    <n v="114870000"/>
    <x v="13"/>
    <x v="13"/>
  </r>
  <r>
    <x v="3"/>
    <x v="1"/>
    <x v="12"/>
    <n v="81983000"/>
    <x v="13"/>
    <x v="13"/>
  </r>
  <r>
    <x v="3"/>
    <x v="1"/>
    <x v="16"/>
    <n v="178796000"/>
    <x v="13"/>
    <x v="13"/>
  </r>
  <r>
    <x v="3"/>
    <x v="1"/>
    <x v="13"/>
    <n v="222828000"/>
    <x v="13"/>
    <x v="13"/>
  </r>
  <r>
    <x v="3"/>
    <x v="2"/>
    <x v="0"/>
    <n v="404342000"/>
    <x v="14"/>
    <x v="14"/>
  </r>
  <r>
    <x v="3"/>
    <x v="2"/>
    <x v="1"/>
    <n v="686306000"/>
    <x v="14"/>
    <x v="14"/>
  </r>
  <r>
    <x v="3"/>
    <x v="2"/>
    <x v="14"/>
    <n v="175379000"/>
    <x v="14"/>
    <x v="14"/>
  </r>
  <r>
    <x v="3"/>
    <x v="2"/>
    <x v="15"/>
    <n v="39120000"/>
    <x v="14"/>
    <x v="14"/>
  </r>
  <r>
    <x v="3"/>
    <x v="2"/>
    <x v="3"/>
    <n v="320173000"/>
    <x v="14"/>
    <x v="14"/>
  </r>
  <r>
    <x v="3"/>
    <x v="2"/>
    <x v="4"/>
    <n v="119088000"/>
    <x v="14"/>
    <x v="14"/>
  </r>
  <r>
    <x v="3"/>
    <x v="2"/>
    <x v="5"/>
    <n v="459352000"/>
    <x v="14"/>
    <x v="14"/>
  </r>
  <r>
    <x v="3"/>
    <x v="2"/>
    <x v="6"/>
    <n v="13356000"/>
    <x v="14"/>
    <x v="14"/>
  </r>
  <r>
    <x v="3"/>
    <x v="2"/>
    <x v="7"/>
    <n v="51218000"/>
    <x v="14"/>
    <x v="14"/>
  </r>
  <r>
    <x v="3"/>
    <x v="2"/>
    <x v="8"/>
    <n v="334221000"/>
    <x v="14"/>
    <x v="14"/>
  </r>
  <r>
    <x v="3"/>
    <x v="2"/>
    <x v="9"/>
    <n v="31513000"/>
    <x v="14"/>
    <x v="14"/>
  </r>
  <r>
    <x v="3"/>
    <x v="2"/>
    <x v="10"/>
    <n v="204500000"/>
    <x v="14"/>
    <x v="14"/>
  </r>
  <r>
    <x v="3"/>
    <x v="2"/>
    <x v="11"/>
    <n v="122092000"/>
    <x v="14"/>
    <x v="14"/>
  </r>
  <r>
    <x v="3"/>
    <x v="2"/>
    <x v="12"/>
    <n v="91161000"/>
    <x v="14"/>
    <x v="14"/>
  </r>
  <r>
    <x v="3"/>
    <x v="2"/>
    <x v="16"/>
    <n v="195498000"/>
    <x v="14"/>
    <x v="14"/>
  </r>
  <r>
    <x v="3"/>
    <x v="2"/>
    <x v="13"/>
    <n v="223527000"/>
    <x v="14"/>
    <x v="14"/>
  </r>
  <r>
    <x v="3"/>
    <x v="3"/>
    <x v="0"/>
    <n v="230135000"/>
    <x v="15"/>
    <x v="15"/>
  </r>
  <r>
    <x v="3"/>
    <x v="3"/>
    <x v="1"/>
    <n v="581209000"/>
    <x v="15"/>
    <x v="15"/>
  </r>
  <r>
    <x v="3"/>
    <x v="3"/>
    <x v="14"/>
    <n v="152905000"/>
    <x v="15"/>
    <x v="15"/>
  </r>
  <r>
    <x v="3"/>
    <x v="3"/>
    <x v="15"/>
    <n v="34271000"/>
    <x v="15"/>
    <x v="15"/>
  </r>
  <r>
    <x v="3"/>
    <x v="3"/>
    <x v="3"/>
    <n v="185077000"/>
    <x v="15"/>
    <x v="15"/>
  </r>
  <r>
    <x v="3"/>
    <x v="3"/>
    <x v="4"/>
    <n v="92434000"/>
    <x v="15"/>
    <x v="15"/>
  </r>
  <r>
    <x v="3"/>
    <x v="3"/>
    <x v="5"/>
    <n v="351527000"/>
    <x v="15"/>
    <x v="15"/>
  </r>
  <r>
    <x v="3"/>
    <x v="3"/>
    <x v="6"/>
    <n v="9465000"/>
    <x v="15"/>
    <x v="15"/>
  </r>
  <r>
    <x v="3"/>
    <x v="3"/>
    <x v="7"/>
    <n v="43466000"/>
    <x v="15"/>
    <x v="15"/>
  </r>
  <r>
    <x v="3"/>
    <x v="3"/>
    <x v="8"/>
    <n v="251095000"/>
    <x v="15"/>
    <x v="15"/>
  </r>
  <r>
    <x v="3"/>
    <x v="3"/>
    <x v="9"/>
    <n v="19465000"/>
    <x v="15"/>
    <x v="15"/>
  </r>
  <r>
    <x v="3"/>
    <x v="3"/>
    <x v="10"/>
    <n v="147948000"/>
    <x v="15"/>
    <x v="15"/>
  </r>
  <r>
    <x v="3"/>
    <x v="3"/>
    <x v="11"/>
    <n v="70539000"/>
    <x v="15"/>
    <x v="15"/>
  </r>
  <r>
    <x v="3"/>
    <x v="3"/>
    <x v="12"/>
    <n v="61482000"/>
    <x v="15"/>
    <x v="15"/>
  </r>
  <r>
    <x v="3"/>
    <x v="3"/>
    <x v="16"/>
    <n v="130773000"/>
    <x v="15"/>
    <x v="15"/>
  </r>
  <r>
    <x v="3"/>
    <x v="3"/>
    <x v="13"/>
    <n v="139002000"/>
    <x v="15"/>
    <x v="15"/>
  </r>
  <r>
    <x v="4"/>
    <x v="0"/>
    <x v="0"/>
    <n v="286682000"/>
    <x v="16"/>
    <x v="16"/>
  </r>
  <r>
    <x v="4"/>
    <x v="0"/>
    <x v="1"/>
    <n v="574485000"/>
    <x v="16"/>
    <x v="16"/>
  </r>
  <r>
    <x v="4"/>
    <x v="0"/>
    <x v="14"/>
    <n v="152557000"/>
    <x v="16"/>
    <x v="16"/>
  </r>
  <r>
    <x v="4"/>
    <x v="0"/>
    <x v="15"/>
    <n v="30505000"/>
    <x v="16"/>
    <x v="16"/>
  </r>
  <r>
    <x v="4"/>
    <x v="0"/>
    <x v="3"/>
    <n v="191300000"/>
    <x v="16"/>
    <x v="16"/>
  </r>
  <r>
    <x v="4"/>
    <x v="0"/>
    <x v="4"/>
    <n v="84305000"/>
    <x v="16"/>
    <x v="16"/>
  </r>
  <r>
    <x v="4"/>
    <x v="0"/>
    <x v="5"/>
    <n v="355405000"/>
    <x v="16"/>
    <x v="16"/>
  </r>
  <r>
    <x v="4"/>
    <x v="0"/>
    <x v="6"/>
    <n v="9678000"/>
    <x v="16"/>
    <x v="16"/>
  </r>
  <r>
    <x v="4"/>
    <x v="0"/>
    <x v="7"/>
    <n v="37086000"/>
    <x v="16"/>
    <x v="16"/>
  </r>
  <r>
    <x v="4"/>
    <x v="0"/>
    <x v="8"/>
    <n v="245028000"/>
    <x v="16"/>
    <x v="16"/>
  </r>
  <r>
    <x v="4"/>
    <x v="0"/>
    <x v="9"/>
    <n v="21305000"/>
    <x v="16"/>
    <x v="16"/>
  </r>
  <r>
    <x v="4"/>
    <x v="0"/>
    <x v="10"/>
    <n v="152529000"/>
    <x v="16"/>
    <x v="16"/>
  </r>
  <r>
    <x v="4"/>
    <x v="0"/>
    <x v="11"/>
    <n v="71829000"/>
    <x v="16"/>
    <x v="16"/>
  </r>
  <r>
    <x v="4"/>
    <x v="0"/>
    <x v="12"/>
    <n v="67995000"/>
    <x v="16"/>
    <x v="16"/>
  </r>
  <r>
    <x v="4"/>
    <x v="0"/>
    <x v="16"/>
    <n v="125758000"/>
    <x v="16"/>
    <x v="16"/>
  </r>
  <r>
    <x v="4"/>
    <x v="0"/>
    <x v="13"/>
    <n v="140661000"/>
    <x v="16"/>
    <x v="16"/>
  </r>
  <r>
    <x v="4"/>
    <x v="1"/>
    <x v="0"/>
    <n v="310793000"/>
    <x v="17"/>
    <x v="17"/>
  </r>
  <r>
    <x v="4"/>
    <x v="1"/>
    <x v="1"/>
    <n v="621944000"/>
    <x v="17"/>
    <x v="17"/>
  </r>
  <r>
    <x v="4"/>
    <x v="1"/>
    <x v="14"/>
    <n v="160128000"/>
    <x v="17"/>
    <x v="17"/>
  </r>
  <r>
    <x v="4"/>
    <x v="1"/>
    <x v="15"/>
    <n v="37776000"/>
    <x v="17"/>
    <x v="17"/>
  </r>
  <r>
    <x v="4"/>
    <x v="1"/>
    <x v="3"/>
    <n v="210181000"/>
    <x v="17"/>
    <x v="17"/>
  </r>
  <r>
    <x v="4"/>
    <x v="1"/>
    <x v="4"/>
    <n v="89074000"/>
    <x v="17"/>
    <x v="17"/>
  </r>
  <r>
    <x v="4"/>
    <x v="1"/>
    <x v="5"/>
    <n v="376307000"/>
    <x v="17"/>
    <x v="17"/>
  </r>
  <r>
    <x v="4"/>
    <x v="1"/>
    <x v="6"/>
    <n v="10261000"/>
    <x v="17"/>
    <x v="17"/>
  </r>
  <r>
    <x v="4"/>
    <x v="1"/>
    <x v="7"/>
    <n v="40443000"/>
    <x v="17"/>
    <x v="17"/>
  </r>
  <r>
    <x v="4"/>
    <x v="1"/>
    <x v="8"/>
    <n v="268956000"/>
    <x v="17"/>
    <x v="17"/>
  </r>
  <r>
    <x v="4"/>
    <x v="1"/>
    <x v="9"/>
    <n v="21057000"/>
    <x v="17"/>
    <x v="17"/>
  </r>
  <r>
    <x v="4"/>
    <x v="1"/>
    <x v="10"/>
    <n v="161543000"/>
    <x v="17"/>
    <x v="17"/>
  </r>
  <r>
    <x v="4"/>
    <x v="1"/>
    <x v="11"/>
    <n v="71063000"/>
    <x v="17"/>
    <x v="17"/>
  </r>
  <r>
    <x v="4"/>
    <x v="1"/>
    <x v="12"/>
    <n v="71054000"/>
    <x v="17"/>
    <x v="17"/>
  </r>
  <r>
    <x v="4"/>
    <x v="1"/>
    <x v="16"/>
    <n v="133922000"/>
    <x v="17"/>
    <x v="17"/>
  </r>
  <r>
    <x v="4"/>
    <x v="1"/>
    <x v="13"/>
    <n v="154341000"/>
    <x v="17"/>
    <x v="17"/>
  </r>
  <r>
    <x v="4"/>
    <x v="2"/>
    <x v="0"/>
    <n v="293086000"/>
    <x v="18"/>
    <x v="18"/>
  </r>
  <r>
    <x v="4"/>
    <x v="2"/>
    <x v="1"/>
    <n v="680081000"/>
    <x v="18"/>
    <x v="18"/>
  </r>
  <r>
    <x v="4"/>
    <x v="2"/>
    <x v="14"/>
    <n v="174223000"/>
    <x v="18"/>
    <x v="18"/>
  </r>
  <r>
    <x v="4"/>
    <x v="2"/>
    <x v="15"/>
    <n v="37534000"/>
    <x v="18"/>
    <x v="18"/>
  </r>
  <r>
    <x v="4"/>
    <x v="2"/>
    <x v="3"/>
    <n v="222183000"/>
    <x v="18"/>
    <x v="18"/>
  </r>
  <r>
    <x v="4"/>
    <x v="2"/>
    <x v="4"/>
    <n v="96191000"/>
    <x v="18"/>
    <x v="18"/>
  </r>
  <r>
    <x v="4"/>
    <x v="2"/>
    <x v="5"/>
    <n v="392330000"/>
    <x v="18"/>
    <x v="18"/>
  </r>
  <r>
    <x v="4"/>
    <x v="2"/>
    <x v="6"/>
    <n v="9652000"/>
    <x v="18"/>
    <x v="18"/>
  </r>
  <r>
    <x v="4"/>
    <x v="2"/>
    <x v="7"/>
    <n v="44489000"/>
    <x v="18"/>
    <x v="18"/>
  </r>
  <r>
    <x v="4"/>
    <x v="2"/>
    <x v="8"/>
    <n v="291732000"/>
    <x v="18"/>
    <x v="18"/>
  </r>
  <r>
    <x v="4"/>
    <x v="2"/>
    <x v="9"/>
    <n v="22079000"/>
    <x v="18"/>
    <x v="18"/>
  </r>
  <r>
    <x v="4"/>
    <x v="2"/>
    <x v="10"/>
    <n v="164928000"/>
    <x v="18"/>
    <x v="18"/>
  </r>
  <r>
    <x v="4"/>
    <x v="2"/>
    <x v="11"/>
    <n v="76565000"/>
    <x v="18"/>
    <x v="18"/>
  </r>
  <r>
    <x v="4"/>
    <x v="2"/>
    <x v="12"/>
    <n v="73483000"/>
    <x v="18"/>
    <x v="18"/>
  </r>
  <r>
    <x v="4"/>
    <x v="2"/>
    <x v="16"/>
    <n v="137973000"/>
    <x v="18"/>
    <x v="18"/>
  </r>
  <r>
    <x v="4"/>
    <x v="2"/>
    <x v="13"/>
    <n v="168508000"/>
    <x v="18"/>
    <x v="18"/>
  </r>
  <r>
    <x v="4"/>
    <x v="3"/>
    <x v="0"/>
    <n v="273786000"/>
    <x v="19"/>
    <x v="19"/>
  </r>
  <r>
    <x v="4"/>
    <x v="3"/>
    <x v="1"/>
    <n v="658145000"/>
    <x v="19"/>
    <x v="19"/>
  </r>
  <r>
    <x v="4"/>
    <x v="3"/>
    <x v="14"/>
    <n v="169503000"/>
    <x v="19"/>
    <x v="19"/>
  </r>
  <r>
    <x v="4"/>
    <x v="3"/>
    <x v="15"/>
    <n v="36294000"/>
    <x v="19"/>
    <x v="19"/>
  </r>
  <r>
    <x v="4"/>
    <x v="3"/>
    <x v="3"/>
    <n v="193805000"/>
    <x v="19"/>
    <x v="19"/>
  </r>
  <r>
    <x v="4"/>
    <x v="3"/>
    <x v="4"/>
    <n v="92536000"/>
    <x v="19"/>
    <x v="19"/>
  </r>
  <r>
    <x v="4"/>
    <x v="3"/>
    <x v="5"/>
    <n v="392140000"/>
    <x v="19"/>
    <x v="19"/>
  </r>
  <r>
    <x v="4"/>
    <x v="3"/>
    <x v="6"/>
    <n v="9754000"/>
    <x v="19"/>
    <x v="19"/>
  </r>
  <r>
    <x v="4"/>
    <x v="3"/>
    <x v="7"/>
    <n v="46093000"/>
    <x v="19"/>
    <x v="19"/>
  </r>
  <r>
    <x v="4"/>
    <x v="3"/>
    <x v="8"/>
    <n v="290936000"/>
    <x v="19"/>
    <x v="19"/>
  </r>
  <r>
    <x v="4"/>
    <x v="3"/>
    <x v="9"/>
    <n v="22035000"/>
    <x v="19"/>
    <x v="19"/>
  </r>
  <r>
    <x v="4"/>
    <x v="3"/>
    <x v="10"/>
    <n v="161163000"/>
    <x v="19"/>
    <x v="19"/>
  </r>
  <r>
    <x v="4"/>
    <x v="3"/>
    <x v="11"/>
    <n v="72571000"/>
    <x v="19"/>
    <x v="19"/>
  </r>
  <r>
    <x v="4"/>
    <x v="3"/>
    <x v="12"/>
    <n v="71642000"/>
    <x v="19"/>
    <x v="19"/>
  </r>
  <r>
    <x v="4"/>
    <x v="3"/>
    <x v="16"/>
    <n v="140522000"/>
    <x v="19"/>
    <x v="19"/>
  </r>
  <r>
    <x v="4"/>
    <x v="3"/>
    <x v="13"/>
    <n v="158963000"/>
    <x v="19"/>
    <x v="19"/>
  </r>
  <r>
    <x v="5"/>
    <x v="0"/>
    <x v="0"/>
    <n v="273475000"/>
    <x v="20"/>
    <x v="20"/>
  </r>
  <r>
    <x v="5"/>
    <x v="0"/>
    <x v="1"/>
    <n v="620722000"/>
    <x v="20"/>
    <x v="20"/>
  </r>
  <r>
    <x v="5"/>
    <x v="0"/>
    <x v="14"/>
    <n v="159893000"/>
    <x v="20"/>
    <x v="20"/>
  </r>
  <r>
    <x v="5"/>
    <x v="0"/>
    <x v="15"/>
    <n v="35785000"/>
    <x v="20"/>
    <x v="20"/>
  </r>
  <r>
    <x v="5"/>
    <x v="0"/>
    <x v="3"/>
    <n v="178893000"/>
    <x v="20"/>
    <x v="20"/>
  </r>
  <r>
    <x v="5"/>
    <x v="0"/>
    <x v="4"/>
    <n v="88192000"/>
    <x v="20"/>
    <x v="20"/>
  </r>
  <r>
    <x v="5"/>
    <x v="0"/>
    <x v="5"/>
    <n v="378717000"/>
    <x v="20"/>
    <x v="20"/>
  </r>
  <r>
    <x v="5"/>
    <x v="0"/>
    <x v="6"/>
    <n v="7886000"/>
    <x v="20"/>
    <x v="20"/>
  </r>
  <r>
    <x v="5"/>
    <x v="0"/>
    <x v="7"/>
    <n v="45163000"/>
    <x v="20"/>
    <x v="20"/>
  </r>
  <r>
    <x v="5"/>
    <x v="0"/>
    <x v="8"/>
    <n v="273998000"/>
    <x v="20"/>
    <x v="20"/>
  </r>
  <r>
    <x v="5"/>
    <x v="0"/>
    <x v="9"/>
    <n v="22401000"/>
    <x v="20"/>
    <x v="20"/>
  </r>
  <r>
    <x v="5"/>
    <x v="0"/>
    <x v="10"/>
    <n v="157853000"/>
    <x v="20"/>
    <x v="20"/>
  </r>
  <r>
    <x v="5"/>
    <x v="0"/>
    <x v="11"/>
    <n v="74136000"/>
    <x v="20"/>
    <x v="20"/>
  </r>
  <r>
    <x v="5"/>
    <x v="0"/>
    <x v="12"/>
    <n v="72362000"/>
    <x v="20"/>
    <x v="20"/>
  </r>
  <r>
    <x v="5"/>
    <x v="0"/>
    <x v="16"/>
    <n v="132631000"/>
    <x v="20"/>
    <x v="20"/>
  </r>
  <r>
    <x v="5"/>
    <x v="0"/>
    <x v="13"/>
    <n v="153280000"/>
    <x v="20"/>
    <x v="20"/>
  </r>
  <r>
    <x v="5"/>
    <x v="1"/>
    <x v="0"/>
    <n v="309945000"/>
    <x v="21"/>
    <x v="21"/>
  </r>
  <r>
    <x v="5"/>
    <x v="1"/>
    <x v="1"/>
    <n v="702107000"/>
    <x v="21"/>
    <x v="21"/>
  </r>
  <r>
    <x v="5"/>
    <x v="1"/>
    <x v="14"/>
    <n v="179695000"/>
    <x v="21"/>
    <x v="21"/>
  </r>
  <r>
    <x v="5"/>
    <x v="1"/>
    <x v="15"/>
    <n v="42235000"/>
    <x v="21"/>
    <x v="21"/>
  </r>
  <r>
    <x v="5"/>
    <x v="1"/>
    <x v="3"/>
    <n v="202713000"/>
    <x v="21"/>
    <x v="21"/>
  </r>
  <r>
    <x v="5"/>
    <x v="1"/>
    <x v="4"/>
    <n v="108345000"/>
    <x v="21"/>
    <x v="21"/>
  </r>
  <r>
    <x v="5"/>
    <x v="1"/>
    <x v="5"/>
    <n v="416659000"/>
    <x v="21"/>
    <x v="21"/>
  </r>
  <r>
    <x v="5"/>
    <x v="1"/>
    <x v="6"/>
    <n v="10006000"/>
    <x v="21"/>
    <x v="21"/>
  </r>
  <r>
    <x v="5"/>
    <x v="1"/>
    <x v="7"/>
    <n v="53088000"/>
    <x v="21"/>
    <x v="21"/>
  </r>
  <r>
    <x v="5"/>
    <x v="1"/>
    <x v="8"/>
    <n v="314658000"/>
    <x v="21"/>
    <x v="21"/>
  </r>
  <r>
    <x v="5"/>
    <x v="1"/>
    <x v="9"/>
    <n v="27179000"/>
    <x v="21"/>
    <x v="21"/>
  </r>
  <r>
    <x v="5"/>
    <x v="1"/>
    <x v="10"/>
    <n v="180428000"/>
    <x v="21"/>
    <x v="21"/>
  </r>
  <r>
    <x v="5"/>
    <x v="1"/>
    <x v="11"/>
    <n v="81005000"/>
    <x v="21"/>
    <x v="21"/>
  </r>
  <r>
    <x v="5"/>
    <x v="1"/>
    <x v="12"/>
    <n v="80198000"/>
    <x v="21"/>
    <x v="21"/>
  </r>
  <r>
    <x v="5"/>
    <x v="1"/>
    <x v="16"/>
    <n v="143023000"/>
    <x v="21"/>
    <x v="21"/>
  </r>
  <r>
    <x v="5"/>
    <x v="1"/>
    <x v="13"/>
    <n v="171209000"/>
    <x v="21"/>
    <x v="21"/>
  </r>
  <r>
    <x v="5"/>
    <x v="2"/>
    <x v="0"/>
    <n v="316137000"/>
    <x v="22"/>
    <x v="22"/>
  </r>
  <r>
    <x v="5"/>
    <x v="2"/>
    <x v="1"/>
    <n v="745398000"/>
    <x v="22"/>
    <x v="22"/>
  </r>
  <r>
    <x v="5"/>
    <x v="2"/>
    <x v="14"/>
    <n v="188585000"/>
    <x v="22"/>
    <x v="22"/>
  </r>
  <r>
    <x v="5"/>
    <x v="2"/>
    <x v="15"/>
    <n v="45406000"/>
    <x v="22"/>
    <x v="22"/>
  </r>
  <r>
    <x v="5"/>
    <x v="2"/>
    <x v="3"/>
    <n v="213029000"/>
    <x v="22"/>
    <x v="22"/>
  </r>
  <r>
    <x v="5"/>
    <x v="2"/>
    <x v="4"/>
    <n v="116794000"/>
    <x v="22"/>
    <x v="22"/>
  </r>
  <r>
    <x v="5"/>
    <x v="2"/>
    <x v="5"/>
    <n v="435720000"/>
    <x v="22"/>
    <x v="22"/>
  </r>
  <r>
    <x v="5"/>
    <x v="2"/>
    <x v="6"/>
    <n v="10272000"/>
    <x v="22"/>
    <x v="22"/>
  </r>
  <r>
    <x v="5"/>
    <x v="2"/>
    <x v="7"/>
    <n v="57841000"/>
    <x v="22"/>
    <x v="22"/>
  </r>
  <r>
    <x v="5"/>
    <x v="2"/>
    <x v="8"/>
    <n v="330794000"/>
    <x v="22"/>
    <x v="22"/>
  </r>
  <r>
    <x v="5"/>
    <x v="2"/>
    <x v="9"/>
    <n v="28799000"/>
    <x v="22"/>
    <x v="22"/>
  </r>
  <r>
    <x v="5"/>
    <x v="2"/>
    <x v="10"/>
    <n v="194820000"/>
    <x v="22"/>
    <x v="22"/>
  </r>
  <r>
    <x v="5"/>
    <x v="2"/>
    <x v="11"/>
    <n v="80959000"/>
    <x v="22"/>
    <x v="22"/>
  </r>
  <r>
    <x v="5"/>
    <x v="2"/>
    <x v="12"/>
    <n v="83874000"/>
    <x v="22"/>
    <x v="22"/>
  </r>
  <r>
    <x v="5"/>
    <x v="2"/>
    <x v="16"/>
    <n v="150001000"/>
    <x v="22"/>
    <x v="22"/>
  </r>
  <r>
    <x v="5"/>
    <x v="2"/>
    <x v="13"/>
    <n v="184941000"/>
    <x v="22"/>
    <x v="22"/>
  </r>
  <r>
    <x v="5"/>
    <x v="3"/>
    <x v="0"/>
    <n v="275255000"/>
    <x v="23"/>
    <x v="23"/>
  </r>
  <r>
    <x v="5"/>
    <x v="3"/>
    <x v="1"/>
    <n v="732627000"/>
    <x v="23"/>
    <x v="23"/>
  </r>
  <r>
    <x v="5"/>
    <x v="3"/>
    <x v="14"/>
    <n v="196900000"/>
    <x v="23"/>
    <x v="23"/>
  </r>
  <r>
    <x v="5"/>
    <x v="3"/>
    <x v="15"/>
    <n v="40346000"/>
    <x v="23"/>
    <x v="23"/>
  </r>
  <r>
    <x v="5"/>
    <x v="3"/>
    <x v="3"/>
    <n v="223955000"/>
    <x v="23"/>
    <x v="23"/>
  </r>
  <r>
    <x v="5"/>
    <x v="3"/>
    <x v="4"/>
    <n v="123295000"/>
    <x v="23"/>
    <x v="23"/>
  </r>
  <r>
    <x v="5"/>
    <x v="3"/>
    <x v="5"/>
    <n v="423492000"/>
    <x v="23"/>
    <x v="23"/>
  </r>
  <r>
    <x v="5"/>
    <x v="3"/>
    <x v="6"/>
    <n v="9673000"/>
    <x v="23"/>
    <x v="23"/>
  </r>
  <r>
    <x v="5"/>
    <x v="3"/>
    <x v="7"/>
    <n v="62683000"/>
    <x v="23"/>
    <x v="23"/>
  </r>
  <r>
    <x v="5"/>
    <x v="3"/>
    <x v="8"/>
    <n v="324108000"/>
    <x v="23"/>
    <x v="23"/>
  </r>
  <r>
    <x v="5"/>
    <x v="3"/>
    <x v="9"/>
    <n v="30899000"/>
    <x v="23"/>
    <x v="23"/>
  </r>
  <r>
    <x v="5"/>
    <x v="3"/>
    <x v="10"/>
    <n v="195480000"/>
    <x v="23"/>
    <x v="23"/>
  </r>
  <r>
    <x v="5"/>
    <x v="3"/>
    <x v="11"/>
    <n v="79573000"/>
    <x v="23"/>
    <x v="23"/>
  </r>
  <r>
    <x v="5"/>
    <x v="3"/>
    <x v="12"/>
    <n v="76429000"/>
    <x v="23"/>
    <x v="23"/>
  </r>
  <r>
    <x v="5"/>
    <x v="3"/>
    <x v="16"/>
    <n v="146386000"/>
    <x v="23"/>
    <x v="23"/>
  </r>
  <r>
    <x v="5"/>
    <x v="3"/>
    <x v="13"/>
    <n v="178264000"/>
    <x v="23"/>
    <x v="23"/>
  </r>
  <r>
    <x v="6"/>
    <x v="0"/>
    <x v="0"/>
    <n v="283396000"/>
    <x v="24"/>
    <x v="24"/>
  </r>
  <r>
    <x v="6"/>
    <x v="0"/>
    <x v="1"/>
    <n v="675104000"/>
    <x v="24"/>
    <x v="24"/>
  </r>
  <r>
    <x v="6"/>
    <x v="0"/>
    <x v="14"/>
    <n v="185674000"/>
    <x v="24"/>
    <x v="24"/>
  </r>
  <r>
    <x v="6"/>
    <x v="0"/>
    <x v="15"/>
    <n v="36051000"/>
    <x v="24"/>
    <x v="24"/>
  </r>
  <r>
    <x v="6"/>
    <x v="0"/>
    <x v="3"/>
    <n v="202073000"/>
    <x v="24"/>
    <x v="24"/>
  </r>
  <r>
    <x v="6"/>
    <x v="0"/>
    <x v="4"/>
    <n v="107931000"/>
    <x v="24"/>
    <x v="24"/>
  </r>
  <r>
    <x v="6"/>
    <x v="0"/>
    <x v="5"/>
    <n v="401889000"/>
    <x v="24"/>
    <x v="24"/>
  </r>
  <r>
    <x v="6"/>
    <x v="0"/>
    <x v="6"/>
    <n v="10504000"/>
    <x v="24"/>
    <x v="24"/>
  </r>
  <r>
    <x v="6"/>
    <x v="0"/>
    <x v="7"/>
    <n v="55715000"/>
    <x v="24"/>
    <x v="24"/>
  </r>
  <r>
    <x v="6"/>
    <x v="0"/>
    <x v="8"/>
    <n v="300816000"/>
    <x v="24"/>
    <x v="24"/>
  </r>
  <r>
    <x v="6"/>
    <x v="0"/>
    <x v="9"/>
    <n v="27358000"/>
    <x v="24"/>
    <x v="24"/>
  </r>
  <r>
    <x v="6"/>
    <x v="0"/>
    <x v="10"/>
    <n v="178962000"/>
    <x v="24"/>
    <x v="24"/>
  </r>
  <r>
    <x v="6"/>
    <x v="0"/>
    <x v="11"/>
    <n v="83340000"/>
    <x v="24"/>
    <x v="24"/>
  </r>
  <r>
    <x v="6"/>
    <x v="0"/>
    <x v="12"/>
    <n v="80844000"/>
    <x v="24"/>
    <x v="24"/>
  </r>
  <r>
    <x v="6"/>
    <x v="0"/>
    <x v="16"/>
    <n v="136362000"/>
    <x v="24"/>
    <x v="24"/>
  </r>
  <r>
    <x v="6"/>
    <x v="0"/>
    <x v="13"/>
    <n v="170625000"/>
    <x v="24"/>
    <x v="24"/>
  </r>
  <r>
    <x v="6"/>
    <x v="1"/>
    <x v="0"/>
    <n v="360030000"/>
    <x v="25"/>
    <x v="25"/>
  </r>
  <r>
    <x v="6"/>
    <x v="1"/>
    <x v="1"/>
    <n v="754420000"/>
    <x v="25"/>
    <x v="25"/>
  </r>
  <r>
    <x v="6"/>
    <x v="1"/>
    <x v="14"/>
    <n v="203849000"/>
    <x v="25"/>
    <x v="25"/>
  </r>
  <r>
    <x v="6"/>
    <x v="1"/>
    <x v="15"/>
    <n v="42590000"/>
    <x v="25"/>
    <x v="25"/>
  </r>
  <r>
    <x v="6"/>
    <x v="1"/>
    <x v="3"/>
    <n v="220982000"/>
    <x v="25"/>
    <x v="25"/>
  </r>
  <r>
    <x v="6"/>
    <x v="1"/>
    <x v="4"/>
    <n v="121608000"/>
    <x v="25"/>
    <x v="25"/>
  </r>
  <r>
    <x v="6"/>
    <x v="1"/>
    <x v="5"/>
    <n v="443721000"/>
    <x v="25"/>
    <x v="25"/>
  </r>
  <r>
    <x v="6"/>
    <x v="1"/>
    <x v="6"/>
    <n v="10861000"/>
    <x v="25"/>
    <x v="25"/>
  </r>
  <r>
    <x v="6"/>
    <x v="1"/>
    <x v="7"/>
    <n v="69082000"/>
    <x v="25"/>
    <x v="25"/>
  </r>
  <r>
    <x v="6"/>
    <x v="1"/>
    <x v="8"/>
    <n v="344818000"/>
    <x v="25"/>
    <x v="25"/>
  </r>
  <r>
    <x v="6"/>
    <x v="1"/>
    <x v="9"/>
    <n v="29590000"/>
    <x v="25"/>
    <x v="25"/>
  </r>
  <r>
    <x v="6"/>
    <x v="1"/>
    <x v="10"/>
    <n v="208887000"/>
    <x v="25"/>
    <x v="25"/>
  </r>
  <r>
    <x v="6"/>
    <x v="1"/>
    <x v="11"/>
    <n v="86760000"/>
    <x v="25"/>
    <x v="25"/>
  </r>
  <r>
    <x v="6"/>
    <x v="1"/>
    <x v="12"/>
    <n v="84645000"/>
    <x v="25"/>
    <x v="25"/>
  </r>
  <r>
    <x v="6"/>
    <x v="1"/>
    <x v="16"/>
    <n v="154778000"/>
    <x v="25"/>
    <x v="25"/>
  </r>
  <r>
    <x v="6"/>
    <x v="1"/>
    <x v="13"/>
    <n v="194421000"/>
    <x v="25"/>
    <x v="25"/>
  </r>
  <r>
    <x v="6"/>
    <x v="2"/>
    <x v="0"/>
    <n v="376643000"/>
    <x v="26"/>
    <x v="26"/>
  </r>
  <r>
    <x v="6"/>
    <x v="2"/>
    <x v="1"/>
    <n v="841601000"/>
    <x v="26"/>
    <x v="26"/>
  </r>
  <r>
    <x v="6"/>
    <x v="2"/>
    <x v="14"/>
    <n v="218816000"/>
    <x v="26"/>
    <x v="26"/>
  </r>
  <r>
    <x v="6"/>
    <x v="2"/>
    <x v="15"/>
    <n v="46039000"/>
    <x v="26"/>
    <x v="26"/>
  </r>
  <r>
    <x v="6"/>
    <x v="2"/>
    <x v="3"/>
    <n v="242122000"/>
    <x v="26"/>
    <x v="26"/>
  </r>
  <r>
    <x v="6"/>
    <x v="2"/>
    <x v="4"/>
    <n v="130007000"/>
    <x v="26"/>
    <x v="26"/>
  </r>
  <r>
    <x v="6"/>
    <x v="2"/>
    <x v="5"/>
    <n v="469418000"/>
    <x v="26"/>
    <x v="26"/>
  </r>
  <r>
    <x v="6"/>
    <x v="2"/>
    <x v="6"/>
    <n v="11600000"/>
    <x v="26"/>
    <x v="26"/>
  </r>
  <r>
    <x v="6"/>
    <x v="2"/>
    <x v="7"/>
    <n v="76284000"/>
    <x v="26"/>
    <x v="26"/>
  </r>
  <r>
    <x v="6"/>
    <x v="2"/>
    <x v="8"/>
    <n v="381093000"/>
    <x v="26"/>
    <x v="26"/>
  </r>
  <r>
    <x v="6"/>
    <x v="2"/>
    <x v="9"/>
    <n v="33303000"/>
    <x v="26"/>
    <x v="26"/>
  </r>
  <r>
    <x v="6"/>
    <x v="2"/>
    <x v="10"/>
    <n v="234870000"/>
    <x v="26"/>
    <x v="26"/>
  </r>
  <r>
    <x v="6"/>
    <x v="2"/>
    <x v="11"/>
    <n v="94968000"/>
    <x v="26"/>
    <x v="26"/>
  </r>
  <r>
    <x v="6"/>
    <x v="2"/>
    <x v="12"/>
    <n v="93183000"/>
    <x v="26"/>
    <x v="26"/>
  </r>
  <r>
    <x v="6"/>
    <x v="2"/>
    <x v="16"/>
    <n v="162490000"/>
    <x v="26"/>
    <x v="26"/>
  </r>
  <r>
    <x v="6"/>
    <x v="2"/>
    <x v="13"/>
    <n v="211909000"/>
    <x v="26"/>
    <x v="26"/>
  </r>
  <r>
    <x v="6"/>
    <x v="3"/>
    <x v="0"/>
    <n v="360045000"/>
    <x v="27"/>
    <x v="27"/>
  </r>
  <r>
    <x v="6"/>
    <x v="3"/>
    <x v="1"/>
    <n v="842332000"/>
    <x v="27"/>
    <x v="27"/>
  </r>
  <r>
    <x v="6"/>
    <x v="3"/>
    <x v="14"/>
    <n v="220250000"/>
    <x v="27"/>
    <x v="27"/>
  </r>
  <r>
    <x v="6"/>
    <x v="3"/>
    <x v="15"/>
    <n v="38690000"/>
    <x v="27"/>
    <x v="27"/>
  </r>
  <r>
    <x v="6"/>
    <x v="3"/>
    <x v="3"/>
    <n v="231237000"/>
    <x v="27"/>
    <x v="27"/>
  </r>
  <r>
    <x v="6"/>
    <x v="3"/>
    <x v="4"/>
    <n v="135400000"/>
    <x v="27"/>
    <x v="27"/>
  </r>
  <r>
    <x v="6"/>
    <x v="3"/>
    <x v="5"/>
    <n v="445584000"/>
    <x v="27"/>
    <x v="27"/>
  </r>
  <r>
    <x v="6"/>
    <x v="3"/>
    <x v="6"/>
    <n v="10579000"/>
    <x v="27"/>
    <x v="27"/>
  </r>
  <r>
    <x v="6"/>
    <x v="3"/>
    <x v="7"/>
    <n v="69763000"/>
    <x v="27"/>
    <x v="27"/>
  </r>
  <r>
    <x v="6"/>
    <x v="3"/>
    <x v="8"/>
    <n v="360044000"/>
    <x v="27"/>
    <x v="27"/>
  </r>
  <r>
    <x v="6"/>
    <x v="3"/>
    <x v="9"/>
    <n v="34040000"/>
    <x v="27"/>
    <x v="27"/>
  </r>
  <r>
    <x v="6"/>
    <x v="3"/>
    <x v="10"/>
    <n v="224967000"/>
    <x v="27"/>
    <x v="27"/>
  </r>
  <r>
    <x v="6"/>
    <x v="3"/>
    <x v="11"/>
    <n v="87967000"/>
    <x v="27"/>
    <x v="27"/>
  </r>
  <r>
    <x v="6"/>
    <x v="3"/>
    <x v="12"/>
    <n v="85225000"/>
    <x v="27"/>
    <x v="27"/>
  </r>
  <r>
    <x v="6"/>
    <x v="3"/>
    <x v="16"/>
    <n v="164383000"/>
    <x v="27"/>
    <x v="27"/>
  </r>
  <r>
    <x v="6"/>
    <x v="3"/>
    <x v="13"/>
    <n v="189949000"/>
    <x v="27"/>
    <x v="27"/>
  </r>
  <r>
    <x v="7"/>
    <x v="0"/>
    <x v="0"/>
    <n v="333871000"/>
    <x v="28"/>
    <x v="28"/>
  </r>
  <r>
    <x v="7"/>
    <x v="0"/>
    <x v="1"/>
    <n v="775994000"/>
    <x v="28"/>
    <x v="28"/>
  </r>
  <r>
    <x v="7"/>
    <x v="0"/>
    <x v="14"/>
    <n v="202783000"/>
    <x v="28"/>
    <x v="28"/>
  </r>
  <r>
    <x v="7"/>
    <x v="0"/>
    <x v="15"/>
    <n v="42272000"/>
    <x v="28"/>
    <x v="28"/>
  </r>
  <r>
    <x v="7"/>
    <x v="0"/>
    <x v="3"/>
    <n v="219502000"/>
    <x v="28"/>
    <x v="28"/>
  </r>
  <r>
    <x v="7"/>
    <x v="0"/>
    <x v="4"/>
    <n v="124919000"/>
    <x v="28"/>
    <x v="28"/>
  </r>
  <r>
    <x v="7"/>
    <x v="0"/>
    <x v="5"/>
    <n v="433030000"/>
    <x v="28"/>
    <x v="28"/>
  </r>
  <r>
    <x v="7"/>
    <x v="0"/>
    <x v="6"/>
    <n v="11133000"/>
    <x v="28"/>
    <x v="28"/>
  </r>
  <r>
    <x v="7"/>
    <x v="0"/>
    <x v="7"/>
    <n v="59708000"/>
    <x v="28"/>
    <x v="28"/>
  </r>
  <r>
    <x v="7"/>
    <x v="0"/>
    <x v="8"/>
    <n v="339280000"/>
    <x v="28"/>
    <x v="28"/>
  </r>
  <r>
    <x v="7"/>
    <x v="0"/>
    <x v="9"/>
    <n v="31148000"/>
    <x v="28"/>
    <x v="28"/>
  </r>
  <r>
    <x v="7"/>
    <x v="0"/>
    <x v="10"/>
    <n v="209631000"/>
    <x v="28"/>
    <x v="28"/>
  </r>
  <r>
    <x v="7"/>
    <x v="0"/>
    <x v="11"/>
    <n v="88637000"/>
    <x v="28"/>
    <x v="28"/>
  </r>
  <r>
    <x v="7"/>
    <x v="0"/>
    <x v="12"/>
    <n v="94442000"/>
    <x v="28"/>
    <x v="28"/>
  </r>
  <r>
    <x v="7"/>
    <x v="0"/>
    <x v="16"/>
    <n v="150149000"/>
    <x v="28"/>
    <x v="28"/>
  </r>
  <r>
    <x v="7"/>
    <x v="0"/>
    <x v="13"/>
    <n v="174774000"/>
    <x v="28"/>
    <x v="28"/>
  </r>
  <r>
    <x v="7"/>
    <x v="1"/>
    <x v="0"/>
    <n v="399131000"/>
    <x v="29"/>
    <x v="29"/>
  </r>
  <r>
    <x v="7"/>
    <x v="1"/>
    <x v="1"/>
    <n v="849884000"/>
    <x v="29"/>
    <x v="29"/>
  </r>
  <r>
    <x v="7"/>
    <x v="1"/>
    <x v="14"/>
    <n v="224158000"/>
    <x v="29"/>
    <x v="29"/>
  </r>
  <r>
    <x v="7"/>
    <x v="1"/>
    <x v="15"/>
    <n v="46717000"/>
    <x v="29"/>
    <x v="29"/>
  </r>
  <r>
    <x v="7"/>
    <x v="1"/>
    <x v="3"/>
    <n v="248344000"/>
    <x v="29"/>
    <x v="29"/>
  </r>
  <r>
    <x v="7"/>
    <x v="1"/>
    <x v="4"/>
    <n v="142661000"/>
    <x v="29"/>
    <x v="29"/>
  </r>
  <r>
    <x v="7"/>
    <x v="1"/>
    <x v="5"/>
    <n v="465224000"/>
    <x v="29"/>
    <x v="29"/>
  </r>
  <r>
    <x v="7"/>
    <x v="1"/>
    <x v="6"/>
    <n v="12722000"/>
    <x v="29"/>
    <x v="29"/>
  </r>
  <r>
    <x v="7"/>
    <x v="1"/>
    <x v="7"/>
    <n v="65984000"/>
    <x v="29"/>
    <x v="29"/>
  </r>
  <r>
    <x v="7"/>
    <x v="1"/>
    <x v="8"/>
    <n v="378957000"/>
    <x v="29"/>
    <x v="29"/>
  </r>
  <r>
    <x v="7"/>
    <x v="1"/>
    <x v="9"/>
    <n v="33738000"/>
    <x v="29"/>
    <x v="29"/>
  </r>
  <r>
    <x v="7"/>
    <x v="1"/>
    <x v="10"/>
    <n v="223306000"/>
    <x v="29"/>
    <x v="29"/>
  </r>
  <r>
    <x v="7"/>
    <x v="1"/>
    <x v="11"/>
    <n v="94043000"/>
    <x v="29"/>
    <x v="29"/>
  </r>
  <r>
    <x v="7"/>
    <x v="1"/>
    <x v="12"/>
    <n v="99510000"/>
    <x v="29"/>
    <x v="29"/>
  </r>
  <r>
    <x v="7"/>
    <x v="1"/>
    <x v="16"/>
    <n v="160684000"/>
    <x v="29"/>
    <x v="29"/>
  </r>
  <r>
    <x v="7"/>
    <x v="1"/>
    <x v="13"/>
    <n v="197771000"/>
    <x v="29"/>
    <x v="29"/>
  </r>
  <r>
    <x v="7"/>
    <x v="2"/>
    <x v="0"/>
    <n v="404160000"/>
    <x v="30"/>
    <x v="30"/>
  </r>
  <r>
    <x v="7"/>
    <x v="2"/>
    <x v="1"/>
    <n v="916910000"/>
    <x v="30"/>
    <x v="30"/>
  </r>
  <r>
    <x v="7"/>
    <x v="2"/>
    <x v="14"/>
    <n v="237226000"/>
    <x v="30"/>
    <x v="30"/>
  </r>
  <r>
    <x v="7"/>
    <x v="2"/>
    <x v="15"/>
    <n v="52778000"/>
    <x v="30"/>
    <x v="30"/>
  </r>
  <r>
    <x v="7"/>
    <x v="2"/>
    <x v="3"/>
    <n v="249455000"/>
    <x v="30"/>
    <x v="30"/>
  </r>
  <r>
    <x v="7"/>
    <x v="2"/>
    <x v="4"/>
    <n v="167915000"/>
    <x v="30"/>
    <x v="30"/>
  </r>
  <r>
    <x v="7"/>
    <x v="2"/>
    <x v="5"/>
    <n v="506447000"/>
    <x v="30"/>
    <x v="30"/>
  </r>
  <r>
    <x v="7"/>
    <x v="2"/>
    <x v="6"/>
    <n v="13905000"/>
    <x v="30"/>
    <x v="30"/>
  </r>
  <r>
    <x v="7"/>
    <x v="2"/>
    <x v="7"/>
    <n v="71474000"/>
    <x v="30"/>
    <x v="30"/>
  </r>
  <r>
    <x v="7"/>
    <x v="2"/>
    <x v="8"/>
    <n v="415789000"/>
    <x v="30"/>
    <x v="30"/>
  </r>
  <r>
    <x v="7"/>
    <x v="2"/>
    <x v="9"/>
    <n v="36524000"/>
    <x v="30"/>
    <x v="30"/>
  </r>
  <r>
    <x v="7"/>
    <x v="2"/>
    <x v="10"/>
    <n v="254019000"/>
    <x v="30"/>
    <x v="30"/>
  </r>
  <r>
    <x v="7"/>
    <x v="2"/>
    <x v="11"/>
    <n v="99615000"/>
    <x v="30"/>
    <x v="30"/>
  </r>
  <r>
    <x v="7"/>
    <x v="2"/>
    <x v="12"/>
    <n v="104210000"/>
    <x v="30"/>
    <x v="30"/>
  </r>
  <r>
    <x v="7"/>
    <x v="2"/>
    <x v="16"/>
    <n v="175061000"/>
    <x v="30"/>
    <x v="30"/>
  </r>
  <r>
    <x v="7"/>
    <x v="2"/>
    <x v="13"/>
    <n v="210952000"/>
    <x v="30"/>
    <x v="30"/>
  </r>
  <r>
    <x v="7"/>
    <x v="3"/>
    <x v="0"/>
    <n v="374341000"/>
    <x v="31"/>
    <x v="31"/>
  </r>
  <r>
    <x v="7"/>
    <x v="3"/>
    <x v="1"/>
    <n v="865649000"/>
    <x v="31"/>
    <x v="31"/>
  </r>
  <r>
    <x v="7"/>
    <x v="3"/>
    <x v="14"/>
    <n v="228883000"/>
    <x v="31"/>
    <x v="31"/>
  </r>
  <r>
    <x v="7"/>
    <x v="3"/>
    <x v="15"/>
    <n v="44678000"/>
    <x v="31"/>
    <x v="31"/>
  </r>
  <r>
    <x v="7"/>
    <x v="3"/>
    <x v="3"/>
    <n v="226359000"/>
    <x v="31"/>
    <x v="31"/>
  </r>
  <r>
    <x v="7"/>
    <x v="3"/>
    <x v="4"/>
    <n v="161211000"/>
    <x v="31"/>
    <x v="31"/>
  </r>
  <r>
    <x v="7"/>
    <x v="3"/>
    <x v="5"/>
    <n v="474267000"/>
    <x v="31"/>
    <x v="31"/>
  </r>
  <r>
    <x v="7"/>
    <x v="3"/>
    <x v="6"/>
    <n v="12039000"/>
    <x v="31"/>
    <x v="31"/>
  </r>
  <r>
    <x v="7"/>
    <x v="3"/>
    <x v="7"/>
    <n v="67262000"/>
    <x v="31"/>
    <x v="31"/>
  </r>
  <r>
    <x v="7"/>
    <x v="3"/>
    <x v="8"/>
    <n v="388977000"/>
    <x v="31"/>
    <x v="31"/>
  </r>
  <r>
    <x v="7"/>
    <x v="3"/>
    <x v="9"/>
    <n v="35742000"/>
    <x v="31"/>
    <x v="31"/>
  </r>
  <r>
    <x v="7"/>
    <x v="3"/>
    <x v="10"/>
    <n v="244327000"/>
    <x v="31"/>
    <x v="31"/>
  </r>
  <r>
    <x v="7"/>
    <x v="3"/>
    <x v="11"/>
    <n v="88202000"/>
    <x v="31"/>
    <x v="31"/>
  </r>
  <r>
    <x v="7"/>
    <x v="3"/>
    <x v="12"/>
    <n v="94606000"/>
    <x v="31"/>
    <x v="31"/>
  </r>
  <r>
    <x v="7"/>
    <x v="3"/>
    <x v="16"/>
    <n v="157059000"/>
    <x v="31"/>
    <x v="31"/>
  </r>
  <r>
    <x v="7"/>
    <x v="3"/>
    <x v="13"/>
    <n v="192583000"/>
    <x v="31"/>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77675B-50CA-47A2-AF10-284E0D7EE84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111" firstHeaderRow="1" firstDataRow="1" firstDataCol="1"/>
  <pivotFields count="9">
    <pivotField showAll="0"/>
    <pivotField showAll="0"/>
    <pivotField showAll="0"/>
    <pivotField dataField="1"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numFmtId="14"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0">
        <item sd="0" x="0"/>
        <item sd="0" x="1"/>
        <item sd="0" x="2"/>
        <item sd="0" x="3"/>
        <item sd="0" x="4"/>
        <item sd="0" x="5"/>
        <item sd="0" x="6"/>
        <item sd="0" x="7"/>
        <item sd="0" x="8"/>
        <item sd="0" x="9"/>
      </items>
    </pivotField>
  </pivotFields>
  <rowFields count="1">
    <field x="5"/>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sales" fld="3" baseField="0" baseItem="0"/>
  </dataFields>
  <formats count="6">
    <format dxfId="15">
      <pivotArea type="all" dataOnly="0" outline="0" fieldPosition="0"/>
    </format>
    <format dxfId="14">
      <pivotArea outline="0" collapsedLevelsAreSubtotals="1" fieldPosition="0"/>
    </format>
    <format dxfId="13">
      <pivotArea field="5" type="button" dataOnly="0" labelOnly="1" outline="0" axis="axisRow" fieldPosition="0"/>
    </format>
    <format dxfId="12">
      <pivotArea dataOnly="0" labelOnly="1" fieldPosition="0">
        <references count="1">
          <reference field="5" count="0"/>
        </references>
      </pivotArea>
    </format>
    <format dxfId="11">
      <pivotArea dataOnly="0" labelOnly="1" grandRow="1" outline="0"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DDF217-9AFC-4791-889C-20027363BA0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F69" firstHeaderRow="1" firstDataRow="2" firstDataCol="1"/>
  <pivotFields count="9">
    <pivotField axis="axisRow" showAll="0">
      <items count="9">
        <item x="0"/>
        <item x="1"/>
        <item x="2"/>
        <item x="3"/>
        <item x="4"/>
        <item x="5"/>
        <item x="6"/>
        <item x="7"/>
        <item t="default"/>
      </items>
    </pivotField>
    <pivotField axis="axisCol" showAll="0">
      <items count="5">
        <item x="0"/>
        <item x="1"/>
        <item x="2"/>
        <item x="3"/>
        <item t="default"/>
      </items>
    </pivotField>
    <pivotField showAll="0"/>
    <pivotField dataField="1" showAll="0"/>
    <pivotField showAll="0"/>
    <pivotField numFmtId="14"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9">
    <i>
      <x/>
    </i>
    <i>
      <x v="1"/>
    </i>
    <i>
      <x v="2"/>
    </i>
    <i>
      <x v="3"/>
    </i>
    <i>
      <x v="4"/>
    </i>
    <i>
      <x v="5"/>
    </i>
    <i>
      <x v="6"/>
    </i>
    <i>
      <x v="7"/>
    </i>
    <i t="grand">
      <x/>
    </i>
  </rowItems>
  <colFields count="1">
    <field x="1"/>
  </colFields>
  <colItems count="5">
    <i>
      <x/>
    </i>
    <i>
      <x v="1"/>
    </i>
    <i>
      <x v="2"/>
    </i>
    <i>
      <x v="3"/>
    </i>
    <i t="grand">
      <x/>
    </i>
  </colItems>
  <dataFields count="1">
    <dataField name="Sum of sales" fld="3" baseField="0" baseItem="0"/>
  </dataFields>
  <formats count="10">
    <format dxfId="25">
      <pivotArea type="all" dataOnly="0" outline="0" fieldPosition="0"/>
    </format>
    <format dxfId="24">
      <pivotArea outline="0" collapsedLevelsAreSubtotals="1" fieldPosition="0"/>
    </format>
    <format dxfId="23">
      <pivotArea type="origin" dataOnly="0" labelOnly="1" outline="0" fieldPosition="0"/>
    </format>
    <format dxfId="22">
      <pivotArea field="1" type="button" dataOnly="0" labelOnly="1" outline="0" axis="axisCol" fieldPosition="0"/>
    </format>
    <format dxfId="21">
      <pivotArea type="topRight" dataOnly="0" labelOnly="1" outline="0"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fieldPosition="0">
        <references count="1">
          <reference field="1" count="0"/>
        </references>
      </pivotArea>
    </format>
    <format dxfId="1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B3861F-7BCC-4466-94C1-479745F97302}" name="sales trend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7:R16" firstHeaderRow="1" firstDataRow="1" firstDataCol="1" rowPageCount="1" colPageCount="1"/>
  <pivotFields count="9">
    <pivotField showAll="0">
      <items count="9">
        <item x="0"/>
        <item x="1"/>
        <item x="2"/>
        <item x="3"/>
        <item x="4"/>
        <item x="5"/>
        <item x="6"/>
        <item x="7"/>
        <item t="default"/>
      </items>
    </pivotField>
    <pivotField showAll="0"/>
    <pivotField axis="axisPage" showAll="0">
      <items count="18">
        <item x="0"/>
        <item x="1"/>
        <item x="14"/>
        <item x="2"/>
        <item x="15"/>
        <item x="3"/>
        <item x="4"/>
        <item x="5"/>
        <item x="6"/>
        <item x="7"/>
        <item x="8"/>
        <item x="9"/>
        <item x="10"/>
        <item x="11"/>
        <item x="12"/>
        <item x="16"/>
        <item x="13"/>
        <item t="default"/>
      </items>
    </pivotField>
    <pivotField dataField="1" showAll="0"/>
    <pivotField showAll="0"/>
    <pivotField axis="axisRow" numFmtId="14"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3">
    <field x="8"/>
    <field x="7"/>
    <field x="5"/>
  </rowFields>
  <rowItems count="9">
    <i>
      <x v="1"/>
    </i>
    <i>
      <x v="2"/>
    </i>
    <i>
      <x v="3"/>
    </i>
    <i>
      <x v="4"/>
    </i>
    <i>
      <x v="5"/>
    </i>
    <i>
      <x v="6"/>
    </i>
    <i>
      <x v="7"/>
    </i>
    <i>
      <x v="8"/>
    </i>
    <i t="grand">
      <x/>
    </i>
  </rowItems>
  <colItems count="1">
    <i/>
  </colItems>
  <pageFields count="1">
    <pageField fld="2" hier="-1"/>
  </pageFields>
  <dataFields count="1">
    <dataField name="Sum of sales" fld="3"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2AA733-93BB-43B5-AF7D-FE15C9BB6FE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8:B46" firstHeaderRow="1" firstDataRow="1" firstDataCol="1"/>
  <pivotFields count="9">
    <pivotField showAll="0"/>
    <pivotField showAll="0"/>
    <pivotField axis="axisRow" showAll="0" sortType="ascending">
      <items count="18">
        <item x="0"/>
        <item x="1"/>
        <item x="14"/>
        <item x="2"/>
        <item x="15"/>
        <item x="3"/>
        <item x="4"/>
        <item x="5"/>
        <item x="6"/>
        <item x="7"/>
        <item x="8"/>
        <item x="9"/>
        <item x="10"/>
        <item x="11"/>
        <item x="12"/>
        <item x="16"/>
        <item x="13"/>
        <item t="default"/>
      </items>
    </pivotField>
    <pivotField dataField="1"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umFmtId="14"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3" baseField="0" baseItem="0"/>
  </dataFields>
  <formats count="6">
    <format dxfId="31">
      <pivotArea type="all" dataOnly="0" outline="0" fieldPosition="0"/>
    </format>
    <format dxfId="30">
      <pivotArea outline="0" collapsedLevelsAreSubtotals="1"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grandRow="1" outline="0" fieldPosition="0"/>
    </format>
    <format dxfId="26">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6C8341-8A34-46E1-9A63-31D39171C6F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9">
    <pivotField showAll="0"/>
    <pivotField showAll="0"/>
    <pivotField showAll="0"/>
    <pivotField dataField="1" showAll="0"/>
    <pivotField showAll="0"/>
    <pivotField axis="axisRow" numFmtId="14"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8"/>
    <field x="7"/>
    <field x="6"/>
    <field x="5"/>
  </rowFields>
  <rowItems count="9">
    <i>
      <x v="1"/>
    </i>
    <i>
      <x v="2"/>
    </i>
    <i>
      <x v="3"/>
    </i>
    <i>
      <x v="4"/>
    </i>
    <i>
      <x v="5"/>
    </i>
    <i>
      <x v="6"/>
    </i>
    <i>
      <x v="7"/>
    </i>
    <i>
      <x v="8"/>
    </i>
    <i t="grand">
      <x/>
    </i>
  </rowItems>
  <colItems count="1">
    <i/>
  </colItems>
  <dataFields count="1">
    <dataField name="Sum of sales" fld="3" baseField="0" baseItem="0"/>
  </dataFields>
  <formats count="6">
    <format dxfId="37">
      <pivotArea type="all" dataOnly="0" outline="0" fieldPosition="0"/>
    </format>
    <format dxfId="36">
      <pivotArea outline="0" collapsedLevelsAreSubtotals="1" fieldPosition="0"/>
    </format>
    <format dxfId="35">
      <pivotArea field="8" type="button" dataOnly="0" labelOnly="1" outline="0" axis="axisRow" fieldPosition="0"/>
    </format>
    <format dxfId="34">
      <pivotArea dataOnly="0" labelOnly="1" fieldPosition="0">
        <references count="1">
          <reference field="8" count="8">
            <x v="1"/>
            <x v="2"/>
            <x v="3"/>
            <x v="4"/>
            <x v="5"/>
            <x v="6"/>
            <x v="7"/>
            <x v="8"/>
          </reference>
        </references>
      </pivotArea>
    </format>
    <format dxfId="33">
      <pivotArea dataOnly="0" labelOnly="1" grandRow="1" outline="0" fieldPosition="0"/>
    </format>
    <format dxfId="3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8AEA73D-EED6-4C99-911A-7A0B3FC4EB4F}" autoFormatId="16" applyNumberFormats="0" applyBorderFormats="0" applyFontFormats="0" applyPatternFormats="0" applyAlignmentFormats="0" applyWidthHeightFormats="0">
  <queryTableRefresh nextId="7" unboundColumnsRight="2">
    <queryTableFields count="6">
      <queryTableField id="1" name="year" tableColumnId="1"/>
      <queryTableField id="2" name="quarter" tableColumnId="2"/>
      <queryTableField id="3" name="county" tableColumnId="3"/>
      <queryTableField id="4" name="sales" tableColumnId="4"/>
      <queryTableField id="5" dataBound="0" tableColumnId="7"/>
      <queryTableField id="6"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54C4AFE5-EA1D-46FB-8BC3-229AEF451882}" sourceName="county">
  <pivotTables>
    <pivotTable tabId="4" name="sales trends"/>
  </pivotTables>
  <data>
    <tabular pivotCacheId="842581704">
      <items count="17">
        <i x="0" s="1"/>
        <i x="1" s="1"/>
        <i x="14" s="1"/>
        <i x="2" s="1"/>
        <i x="15" s="1"/>
        <i x="3" s="1"/>
        <i x="4" s="1"/>
        <i x="5" s="1"/>
        <i x="6" s="1"/>
        <i x="7" s="1"/>
        <i x="8" s="1"/>
        <i x="9" s="1"/>
        <i x="10" s="1"/>
        <i x="11" s="1"/>
        <i x="12" s="1"/>
        <i x="16"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2464FB0E-F854-46ED-BBA5-E4177FE7E0F5}" sourceName="Years (Date)">
  <pivotTables>
    <pivotTable tabId="4" name="sales trends"/>
  </pivotTables>
  <data>
    <tabular pivotCacheId="842581704">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0F8A8799-B209-4385-8C84-FC69F1287034}" cache="Slicer_county" caption="county" startItem="10" rowHeight="234950"/>
  <slicer name="Years (Date)" xr10:uid="{AFEB9F68-94DB-4CA1-ADF0-92F3C341B53F}" cache="Slicer_Years__Date" caption="Years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5EC3AA-1105-43A5-BFD4-E565927DF124}" name="colorado_motor_vehicle_sales__2" displayName="colorado_motor_vehicle_sales__2" ref="A1:F502" tableType="queryTable">
  <autoFilter ref="A1:F502" xr:uid="{185EC3AA-1105-43A5-BFD4-E565927DF124}"/>
  <tableColumns count="6">
    <tableColumn id="1" xr3:uid="{7AA7CC61-FE19-4A18-B6E4-6184B851A2C6}" uniqueName="1" name="year" totalsRowLabel="Total" queryTableFieldId="1"/>
    <tableColumn id="2" xr3:uid="{F4843D0A-D6B5-4D8B-A897-94DFB64D19FE}" uniqueName="2" name="quarter" queryTableFieldId="2"/>
    <tableColumn id="3" xr3:uid="{05067F26-23CE-43BD-8438-67639B59A6D9}" uniqueName="3" name="county" queryTableFieldId="3" dataDxfId="1"/>
    <tableColumn id="4" xr3:uid="{649A55AB-FE34-427E-9AB5-9C6AF6592958}" uniqueName="4" name="sales" totalsRowFunction="sum" queryTableFieldId="4"/>
    <tableColumn id="7" xr3:uid="{2DBDB8EB-9F7F-46CB-B25C-66A6BF6F3120}" uniqueName="7" name="Period" queryTableFieldId="5">
      <calculatedColumnFormula xml:space="preserve"> A2 &amp; " Q" &amp; B2</calculatedColumnFormula>
    </tableColumn>
    <tableColumn id="8" xr3:uid="{60511D1A-2C48-4E45-A300-D836136B8E06}" uniqueName="8" name="Date" queryTableFieldId="6" dataDxfId="0">
      <calculatedColumnFormula>DATE(A2, (B2-1)*3 + 1, 1)</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85298A-522E-4AA5-8CBF-5940FCC3C9A2}" name="Table6" displayName="Table6" ref="L58:M63" totalsRowShown="0" headerRowDxfId="9" dataDxfId="8">
  <autoFilter ref="L58:M63" xr:uid="{3D85298A-522E-4AA5-8CBF-5940FCC3C9A2}"/>
  <tableColumns count="2">
    <tableColumn id="1" xr3:uid="{B9A12F12-D957-49FC-92F7-D4E4A3DD2D32}" name="Column1" dataDxfId="7"/>
    <tableColumn id="2" xr3:uid="{29488674-065B-461E-B86E-2B627C568E36}" name="Column2"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2CB65F-2CAC-47EB-AE4F-5D1B4830B470}" name="Table5" displayName="Table5" ref="A1:G57" totalsRowShown="0">
  <autoFilter ref="A1:G57" xr:uid="{7F2CB65F-2CAC-47EB-AE4F-5D1B4830B470}"/>
  <tableColumns count="7">
    <tableColumn id="1" xr3:uid="{069F8051-86D1-4691-92CC-024C944E4EA0}" name="Row Labels" dataDxfId="5"/>
    <tableColumn id="2" xr3:uid="{1AD433B6-8679-43D2-A027-284F1402C041}" name="Sum of sales"/>
    <tableColumn id="3" xr3:uid="{20B6EB57-2242-438D-935F-EE66E51413C6}" name="Forecast(Sum of sales)">
      <calculatedColumnFormula>_xlfn.FORECAST.ETS(A2,$B$2:$B$33,$A$2:$A$33,12,1)</calculatedColumnFormula>
    </tableColumn>
    <tableColumn id="4" xr3:uid="{54FC77B3-8294-4A89-8F95-B06EAE7EA7CA}" name="Lower Confidence Bound(Sum of sales)" dataDxfId="4">
      <calculatedColumnFormula>C2-_xlfn.FORECAST.ETS.CONFINT(A2,$B$2:$B$33,$A$2:$A$33,0.95,12,1)</calculatedColumnFormula>
    </tableColumn>
    <tableColumn id="5" xr3:uid="{28C3FC05-6DCF-40E5-A2B9-5717FBB9291A}" name="Upper Confidence Bound(Sum of sales)" dataDxfId="3">
      <calculatedColumnFormula>C2+_xlfn.FORECAST.ETS.CONFINT(A2,$B$2:$B$33,$A$2:$A$33,0.95,12,1)</calculatedColumnFormula>
    </tableColumn>
    <tableColumn id="6" xr3:uid="{2F0B0318-6355-4A8F-8D15-FB5A5BC5A2B6}" name="YoY Growth % (Historical)" dataCellStyle="Percent"/>
    <tableColumn id="8" xr3:uid="{688BFAD6-83D5-42F6-8BB7-6D67FA249DF9}" name="QoQ Growth %" dataDxfId="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A261-63EC-4919-8CC2-3B78CC99FE6A}">
  <dimension ref="A1:O502"/>
  <sheetViews>
    <sheetView zoomScaleNormal="100" workbookViewId="0">
      <selection activeCell="J8" sqref="J8"/>
    </sheetView>
  </sheetViews>
  <sheetFormatPr defaultRowHeight="14.4" x14ac:dyDescent="0.3"/>
  <cols>
    <col min="1" max="1" width="6.88671875" bestFit="1" customWidth="1"/>
    <col min="2" max="2" width="9.44140625" bestFit="1" customWidth="1"/>
    <col min="3" max="3" width="17.44140625" bestFit="1" customWidth="1"/>
    <col min="4" max="4" width="10" bestFit="1" customWidth="1"/>
    <col min="5" max="5" width="8.88671875" bestFit="1" customWidth="1"/>
    <col min="6" max="6" width="10.33203125" bestFit="1" customWidth="1"/>
    <col min="15" max="15" width="10.33203125" bestFit="1" customWidth="1"/>
  </cols>
  <sheetData>
    <row r="1" spans="1:15" x14ac:dyDescent="0.3">
      <c r="A1" t="s">
        <v>0</v>
      </c>
      <c r="B1" t="s">
        <v>1</v>
      </c>
      <c r="C1" t="s">
        <v>2</v>
      </c>
      <c r="D1" t="s">
        <v>3</v>
      </c>
      <c r="E1" t="s">
        <v>22</v>
      </c>
      <c r="F1" t="s">
        <v>21</v>
      </c>
      <c r="N1" s="1"/>
      <c r="O1" s="1"/>
    </row>
    <row r="2" spans="1:15" x14ac:dyDescent="0.3">
      <c r="A2">
        <v>2008</v>
      </c>
      <c r="B2">
        <v>1</v>
      </c>
      <c r="C2" t="s">
        <v>4</v>
      </c>
      <c r="D2">
        <v>231609000</v>
      </c>
      <c r="E2" t="str">
        <f xml:space="preserve"> A2 &amp; " Q" &amp; B2</f>
        <v>2008 Q1</v>
      </c>
      <c r="F2" s="2">
        <f>DATE(A2, (B2-1)*3 + 1, 1)</f>
        <v>39448</v>
      </c>
    </row>
    <row r="3" spans="1:15" x14ac:dyDescent="0.3">
      <c r="A3">
        <v>2008</v>
      </c>
      <c r="B3">
        <v>1</v>
      </c>
      <c r="C3" t="s">
        <v>5</v>
      </c>
      <c r="D3">
        <v>550378000</v>
      </c>
      <c r="E3" t="str">
        <f xml:space="preserve"> A3 &amp; " Q" &amp; B3</f>
        <v>2008 Q1</v>
      </c>
      <c r="F3" s="2">
        <f>DATE(A3, (B3-1)*3 + 1, 1)</f>
        <v>39448</v>
      </c>
    </row>
    <row r="4" spans="1:15" x14ac:dyDescent="0.3">
      <c r="A4">
        <v>2008</v>
      </c>
      <c r="B4">
        <v>1</v>
      </c>
      <c r="C4" t="s">
        <v>6</v>
      </c>
      <c r="D4">
        <v>176771000</v>
      </c>
      <c r="E4" t="str">
        <f xml:space="preserve"> A4 &amp; " Q" &amp; B4</f>
        <v>2008 Q1</v>
      </c>
      <c r="F4" s="2">
        <f>DATE(A4, (B4-1)*3 + 1, 1)</f>
        <v>39448</v>
      </c>
    </row>
    <row r="5" spans="1:15" x14ac:dyDescent="0.3">
      <c r="A5">
        <v>2008</v>
      </c>
      <c r="B5">
        <v>1</v>
      </c>
      <c r="C5" t="s">
        <v>7</v>
      </c>
      <c r="D5">
        <v>200103000</v>
      </c>
      <c r="E5" t="str">
        <f xml:space="preserve"> A5 &amp; " Q" &amp; B5</f>
        <v>2008 Q1</v>
      </c>
      <c r="F5" s="2">
        <f>DATE(A5, (B5-1)*3 + 1, 1)</f>
        <v>39448</v>
      </c>
    </row>
    <row r="6" spans="1:15" x14ac:dyDescent="0.3">
      <c r="A6">
        <v>2008</v>
      </c>
      <c r="B6">
        <v>1</v>
      </c>
      <c r="C6" t="s">
        <v>8</v>
      </c>
      <c r="D6">
        <v>93259000</v>
      </c>
      <c r="E6" t="str">
        <f xml:space="preserve"> A6 &amp; " Q" &amp; B6</f>
        <v>2008 Q1</v>
      </c>
      <c r="F6" s="2">
        <f>DATE(A6, (B6-1)*3 + 1, 1)</f>
        <v>39448</v>
      </c>
    </row>
    <row r="7" spans="1:15" x14ac:dyDescent="0.3">
      <c r="A7">
        <v>2008</v>
      </c>
      <c r="B7">
        <v>1</v>
      </c>
      <c r="C7" t="s">
        <v>9</v>
      </c>
      <c r="D7">
        <v>325737000</v>
      </c>
      <c r="E7" t="str">
        <f xml:space="preserve"> A7 &amp; " Q" &amp; B7</f>
        <v>2008 Q1</v>
      </c>
      <c r="F7" s="2">
        <f>DATE(A7, (B7-1)*3 + 1, 1)</f>
        <v>39448</v>
      </c>
    </row>
    <row r="8" spans="1:15" x14ac:dyDescent="0.3">
      <c r="A8">
        <v>2008</v>
      </c>
      <c r="B8">
        <v>1</v>
      </c>
      <c r="C8" t="s">
        <v>10</v>
      </c>
      <c r="D8">
        <v>9911000</v>
      </c>
      <c r="E8" t="str">
        <f xml:space="preserve"> A8 &amp; " Q" &amp; B8</f>
        <v>2008 Q1</v>
      </c>
      <c r="F8" s="2">
        <f>DATE(A8, (B8-1)*3 + 1, 1)</f>
        <v>39448</v>
      </c>
    </row>
    <row r="9" spans="1:15" x14ac:dyDescent="0.3">
      <c r="A9">
        <v>2008</v>
      </c>
      <c r="B9">
        <v>1</v>
      </c>
      <c r="C9" t="s">
        <v>11</v>
      </c>
      <c r="D9">
        <v>55701000</v>
      </c>
      <c r="E9" t="str">
        <f xml:space="preserve"> A9 &amp; " Q" &amp; B9</f>
        <v>2008 Q1</v>
      </c>
      <c r="F9" s="2">
        <f>DATE(A9, (B9-1)*3 + 1, 1)</f>
        <v>39448</v>
      </c>
    </row>
    <row r="10" spans="1:15" x14ac:dyDescent="0.3">
      <c r="A10">
        <v>2008</v>
      </c>
      <c r="B10">
        <v>1</v>
      </c>
      <c r="C10" t="s">
        <v>12</v>
      </c>
      <c r="D10">
        <v>277611000</v>
      </c>
      <c r="E10" t="str">
        <f xml:space="preserve"> A10 &amp; " Q" &amp; B10</f>
        <v>2008 Q1</v>
      </c>
      <c r="F10" s="2">
        <f>DATE(A10, (B10-1)*3 + 1, 1)</f>
        <v>39448</v>
      </c>
    </row>
    <row r="11" spans="1:15" x14ac:dyDescent="0.3">
      <c r="A11">
        <v>2008</v>
      </c>
      <c r="B11">
        <v>1</v>
      </c>
      <c r="C11" t="s">
        <v>13</v>
      </c>
      <c r="D11">
        <v>19558000</v>
      </c>
      <c r="E11" t="str">
        <f xml:space="preserve"> A11 &amp; " Q" &amp; B11</f>
        <v>2008 Q1</v>
      </c>
      <c r="F11" s="2">
        <f>DATE(A11, (B11-1)*3 + 1, 1)</f>
        <v>39448</v>
      </c>
    </row>
    <row r="12" spans="1:15" x14ac:dyDescent="0.3">
      <c r="A12">
        <v>2008</v>
      </c>
      <c r="B12">
        <v>1</v>
      </c>
      <c r="C12" t="s">
        <v>14</v>
      </c>
      <c r="D12">
        <v>141852000</v>
      </c>
      <c r="E12" t="str">
        <f xml:space="preserve"> A12 &amp; " Q" &amp; B12</f>
        <v>2008 Q1</v>
      </c>
      <c r="F12" s="2">
        <f>DATE(A12, (B12-1)*3 + 1, 1)</f>
        <v>39448</v>
      </c>
    </row>
    <row r="13" spans="1:15" x14ac:dyDescent="0.3">
      <c r="A13">
        <v>2008</v>
      </c>
      <c r="B13">
        <v>1</v>
      </c>
      <c r="C13" t="s">
        <v>15</v>
      </c>
      <c r="D13">
        <v>98293000</v>
      </c>
      <c r="E13" t="str">
        <f xml:space="preserve"> A13 &amp; " Q" &amp; B13</f>
        <v>2008 Q1</v>
      </c>
      <c r="F13" s="2">
        <f>DATE(A13, (B13-1)*3 + 1, 1)</f>
        <v>39448</v>
      </c>
    </row>
    <row r="14" spans="1:15" x14ac:dyDescent="0.3">
      <c r="A14">
        <v>2008</v>
      </c>
      <c r="B14">
        <v>1</v>
      </c>
      <c r="C14" t="s">
        <v>16</v>
      </c>
      <c r="D14">
        <v>68268000</v>
      </c>
      <c r="E14" t="str">
        <f xml:space="preserve"> A14 &amp; " Q" &amp; B14</f>
        <v>2008 Q1</v>
      </c>
      <c r="F14" s="2">
        <f>DATE(A14, (B14-1)*3 + 1, 1)</f>
        <v>39448</v>
      </c>
    </row>
    <row r="15" spans="1:15" x14ac:dyDescent="0.3">
      <c r="A15">
        <v>2008</v>
      </c>
      <c r="B15">
        <v>1</v>
      </c>
      <c r="C15" t="s">
        <v>17</v>
      </c>
      <c r="D15">
        <v>158501000</v>
      </c>
      <c r="E15" t="str">
        <f xml:space="preserve"> A15 &amp; " Q" &amp; B15</f>
        <v>2008 Q1</v>
      </c>
      <c r="F15" s="2">
        <f>DATE(A15, (B15-1)*3 + 1, 1)</f>
        <v>39448</v>
      </c>
    </row>
    <row r="16" spans="1:15" x14ac:dyDescent="0.3">
      <c r="A16">
        <v>2008</v>
      </c>
      <c r="B16">
        <v>2</v>
      </c>
      <c r="C16" t="s">
        <v>4</v>
      </c>
      <c r="D16">
        <v>241925000</v>
      </c>
      <c r="E16" t="str">
        <f xml:space="preserve"> A16 &amp; " Q" &amp; B16</f>
        <v>2008 Q2</v>
      </c>
      <c r="F16" s="2">
        <f>DATE(A16, (B16-1)*3 + 1, 1)</f>
        <v>39539</v>
      </c>
    </row>
    <row r="17" spans="1:6" x14ac:dyDescent="0.3">
      <c r="A17">
        <v>2008</v>
      </c>
      <c r="B17">
        <v>2</v>
      </c>
      <c r="C17" t="s">
        <v>5</v>
      </c>
      <c r="D17">
        <v>585224000</v>
      </c>
      <c r="E17" t="str">
        <f xml:space="preserve"> A17 &amp; " Q" &amp; B17</f>
        <v>2008 Q2</v>
      </c>
      <c r="F17" s="2">
        <f>DATE(A17, (B17-1)*3 + 1, 1)</f>
        <v>39539</v>
      </c>
    </row>
    <row r="18" spans="1:6" x14ac:dyDescent="0.3">
      <c r="A18">
        <v>2008</v>
      </c>
      <c r="B18">
        <v>2</v>
      </c>
      <c r="C18" t="s">
        <v>6</v>
      </c>
      <c r="D18">
        <v>181959000</v>
      </c>
      <c r="E18" t="str">
        <f xml:space="preserve"> A18 &amp; " Q" &amp; B18</f>
        <v>2008 Q2</v>
      </c>
      <c r="F18" s="2">
        <f>DATE(A18, (B18-1)*3 + 1, 1)</f>
        <v>39539</v>
      </c>
    </row>
    <row r="19" spans="1:6" x14ac:dyDescent="0.3">
      <c r="A19">
        <v>2008</v>
      </c>
      <c r="B19">
        <v>2</v>
      </c>
      <c r="C19" t="s">
        <v>7</v>
      </c>
      <c r="D19">
        <v>195965000</v>
      </c>
      <c r="E19" t="str">
        <f xml:space="preserve"> A19 &amp; " Q" &amp; B19</f>
        <v>2008 Q2</v>
      </c>
      <c r="F19" s="2">
        <f>DATE(A19, (B19-1)*3 + 1, 1)</f>
        <v>39539</v>
      </c>
    </row>
    <row r="20" spans="1:6" x14ac:dyDescent="0.3">
      <c r="A20">
        <v>2008</v>
      </c>
      <c r="B20">
        <v>2</v>
      </c>
      <c r="C20" t="s">
        <v>8</v>
      </c>
      <c r="D20">
        <v>88128000</v>
      </c>
      <c r="E20" t="str">
        <f xml:space="preserve"> A20 &amp; " Q" &amp; B20</f>
        <v>2008 Q2</v>
      </c>
      <c r="F20" s="2">
        <f>DATE(A20, (B20-1)*3 + 1, 1)</f>
        <v>39539</v>
      </c>
    </row>
    <row r="21" spans="1:6" x14ac:dyDescent="0.3">
      <c r="A21">
        <v>2008</v>
      </c>
      <c r="B21">
        <v>2</v>
      </c>
      <c r="C21" t="s">
        <v>9</v>
      </c>
      <c r="D21">
        <v>323709000</v>
      </c>
      <c r="E21" t="str">
        <f xml:space="preserve"> A21 &amp; " Q" &amp; B21</f>
        <v>2008 Q2</v>
      </c>
      <c r="F21" s="2">
        <f>DATE(A21, (B21-1)*3 + 1, 1)</f>
        <v>39539</v>
      </c>
    </row>
    <row r="22" spans="1:6" x14ac:dyDescent="0.3">
      <c r="A22">
        <v>2008</v>
      </c>
      <c r="B22">
        <v>2</v>
      </c>
      <c r="C22" t="s">
        <v>10</v>
      </c>
      <c r="D22">
        <v>8924000</v>
      </c>
      <c r="E22" t="str">
        <f xml:space="preserve"> A22 &amp; " Q" &amp; B22</f>
        <v>2008 Q2</v>
      </c>
      <c r="F22" s="2">
        <f>DATE(A22, (B22-1)*3 + 1, 1)</f>
        <v>39539</v>
      </c>
    </row>
    <row r="23" spans="1:6" x14ac:dyDescent="0.3">
      <c r="A23">
        <v>2008</v>
      </c>
      <c r="B23">
        <v>2</v>
      </c>
      <c r="C23" t="s">
        <v>11</v>
      </c>
      <c r="D23">
        <v>55206000</v>
      </c>
      <c r="E23" t="str">
        <f xml:space="preserve"> A23 &amp; " Q" &amp; B23</f>
        <v>2008 Q2</v>
      </c>
      <c r="F23" s="2">
        <f>DATE(A23, (B23-1)*3 + 1, 1)</f>
        <v>39539</v>
      </c>
    </row>
    <row r="24" spans="1:6" x14ac:dyDescent="0.3">
      <c r="A24">
        <v>2008</v>
      </c>
      <c r="B24">
        <v>2</v>
      </c>
      <c r="C24" t="s">
        <v>12</v>
      </c>
      <c r="D24">
        <v>257538000</v>
      </c>
      <c r="E24" t="str">
        <f xml:space="preserve"> A24 &amp; " Q" &amp; B24</f>
        <v>2008 Q2</v>
      </c>
      <c r="F24" s="2">
        <f>DATE(A24, (B24-1)*3 + 1, 1)</f>
        <v>39539</v>
      </c>
    </row>
    <row r="25" spans="1:6" x14ac:dyDescent="0.3">
      <c r="A25">
        <v>2008</v>
      </c>
      <c r="B25">
        <v>2</v>
      </c>
      <c r="C25" t="s">
        <v>13</v>
      </c>
      <c r="D25">
        <v>28064000</v>
      </c>
      <c r="E25" t="str">
        <f xml:space="preserve"> A25 &amp; " Q" &amp; B25</f>
        <v>2008 Q2</v>
      </c>
      <c r="F25" s="2">
        <f>DATE(A25, (B25-1)*3 + 1, 1)</f>
        <v>39539</v>
      </c>
    </row>
    <row r="26" spans="1:6" x14ac:dyDescent="0.3">
      <c r="A26">
        <v>2008</v>
      </c>
      <c r="B26">
        <v>2</v>
      </c>
      <c r="C26" t="s">
        <v>14</v>
      </c>
      <c r="D26">
        <v>145702000</v>
      </c>
      <c r="E26" t="str">
        <f xml:space="preserve"> A26 &amp; " Q" &amp; B26</f>
        <v>2008 Q2</v>
      </c>
      <c r="F26" s="2">
        <f>DATE(A26, (B26-1)*3 + 1, 1)</f>
        <v>39539</v>
      </c>
    </row>
    <row r="27" spans="1:6" x14ac:dyDescent="0.3">
      <c r="A27">
        <v>2008</v>
      </c>
      <c r="B27">
        <v>2</v>
      </c>
      <c r="C27" t="s">
        <v>15</v>
      </c>
      <c r="D27">
        <v>93063000</v>
      </c>
      <c r="E27" t="str">
        <f xml:space="preserve"> A27 &amp; " Q" &amp; B27</f>
        <v>2008 Q2</v>
      </c>
      <c r="F27" s="2">
        <f>DATE(A27, (B27-1)*3 + 1, 1)</f>
        <v>39539</v>
      </c>
    </row>
    <row r="28" spans="1:6" x14ac:dyDescent="0.3">
      <c r="A28">
        <v>2008</v>
      </c>
      <c r="B28">
        <v>2</v>
      </c>
      <c r="C28" t="s">
        <v>16</v>
      </c>
      <c r="D28">
        <v>65405000</v>
      </c>
      <c r="E28" t="str">
        <f xml:space="preserve"> A28 &amp; " Q" &amp; B28</f>
        <v>2008 Q2</v>
      </c>
      <c r="F28" s="2">
        <f>DATE(A28, (B28-1)*3 + 1, 1)</f>
        <v>39539</v>
      </c>
    </row>
    <row r="29" spans="1:6" x14ac:dyDescent="0.3">
      <c r="A29">
        <v>2008</v>
      </c>
      <c r="B29">
        <v>2</v>
      </c>
      <c r="C29" t="s">
        <v>17</v>
      </c>
      <c r="D29">
        <v>157124000</v>
      </c>
      <c r="E29" t="str">
        <f xml:space="preserve"> A29 &amp; " Q" &amp; B29</f>
        <v>2008 Q2</v>
      </c>
      <c r="F29" s="2">
        <f>DATE(A29, (B29-1)*3 + 1, 1)</f>
        <v>39539</v>
      </c>
    </row>
    <row r="30" spans="1:6" x14ac:dyDescent="0.3">
      <c r="A30">
        <v>2008</v>
      </c>
      <c r="B30">
        <v>3</v>
      </c>
      <c r="C30" t="s">
        <v>4</v>
      </c>
      <c r="D30">
        <v>204716000</v>
      </c>
      <c r="E30" t="str">
        <f xml:space="preserve"> A30 &amp; " Q" &amp; B30</f>
        <v>2008 Q3</v>
      </c>
      <c r="F30" s="2">
        <f>DATE(A30, (B30-1)*3 + 1, 1)</f>
        <v>39630</v>
      </c>
    </row>
    <row r="31" spans="1:6" x14ac:dyDescent="0.3">
      <c r="A31">
        <v>2008</v>
      </c>
      <c r="B31">
        <v>3</v>
      </c>
      <c r="C31" t="s">
        <v>5</v>
      </c>
      <c r="D31">
        <v>538296000</v>
      </c>
      <c r="E31" t="str">
        <f xml:space="preserve"> A31 &amp; " Q" &amp; B31</f>
        <v>2008 Q3</v>
      </c>
      <c r="F31" s="2">
        <f>DATE(A31, (B31-1)*3 + 1, 1)</f>
        <v>39630</v>
      </c>
    </row>
    <row r="32" spans="1:6" x14ac:dyDescent="0.3">
      <c r="A32">
        <v>2008</v>
      </c>
      <c r="B32">
        <v>3</v>
      </c>
      <c r="C32" t="s">
        <v>6</v>
      </c>
      <c r="D32">
        <v>178686000</v>
      </c>
      <c r="E32" t="str">
        <f xml:space="preserve"> A32 &amp; " Q" &amp; B32</f>
        <v>2008 Q3</v>
      </c>
      <c r="F32" s="2">
        <f>DATE(A32, (B32-1)*3 + 1, 1)</f>
        <v>39630</v>
      </c>
    </row>
    <row r="33" spans="1:6" x14ac:dyDescent="0.3">
      <c r="A33">
        <v>2008</v>
      </c>
      <c r="B33">
        <v>3</v>
      </c>
      <c r="C33" t="s">
        <v>7</v>
      </c>
      <c r="D33">
        <v>189433000</v>
      </c>
      <c r="E33" t="str">
        <f xml:space="preserve"> A33 &amp; " Q" &amp; B33</f>
        <v>2008 Q3</v>
      </c>
      <c r="F33" s="2">
        <f>DATE(A33, (B33-1)*3 + 1, 1)</f>
        <v>39630</v>
      </c>
    </row>
    <row r="34" spans="1:6" x14ac:dyDescent="0.3">
      <c r="A34">
        <v>2008</v>
      </c>
      <c r="B34">
        <v>3</v>
      </c>
      <c r="C34" t="s">
        <v>8</v>
      </c>
      <c r="D34">
        <v>89219000</v>
      </c>
      <c r="E34" t="str">
        <f xml:space="preserve"> A34 &amp; " Q" &amp; B34</f>
        <v>2008 Q3</v>
      </c>
      <c r="F34" s="2">
        <f>DATE(A34, (B34-1)*3 + 1, 1)</f>
        <v>39630</v>
      </c>
    </row>
    <row r="35" spans="1:6" x14ac:dyDescent="0.3">
      <c r="A35">
        <v>2008</v>
      </c>
      <c r="B35">
        <v>3</v>
      </c>
      <c r="C35" t="s">
        <v>9</v>
      </c>
      <c r="D35">
        <v>299526000</v>
      </c>
      <c r="E35" t="str">
        <f xml:space="preserve"> A35 &amp; " Q" &amp; B35</f>
        <v>2008 Q3</v>
      </c>
      <c r="F35" s="2">
        <f>DATE(A35, (B35-1)*3 + 1, 1)</f>
        <v>39630</v>
      </c>
    </row>
    <row r="36" spans="1:6" x14ac:dyDescent="0.3">
      <c r="A36">
        <v>2008</v>
      </c>
      <c r="B36">
        <v>3</v>
      </c>
      <c r="C36" t="s">
        <v>10</v>
      </c>
      <c r="D36">
        <v>8305000</v>
      </c>
      <c r="E36" t="str">
        <f xml:space="preserve"> A36 &amp; " Q" &amp; B36</f>
        <v>2008 Q3</v>
      </c>
      <c r="F36" s="2">
        <f>DATE(A36, (B36-1)*3 + 1, 1)</f>
        <v>39630</v>
      </c>
    </row>
    <row r="37" spans="1:6" x14ac:dyDescent="0.3">
      <c r="A37">
        <v>2008</v>
      </c>
      <c r="B37">
        <v>3</v>
      </c>
      <c r="C37" t="s">
        <v>11</v>
      </c>
      <c r="D37">
        <v>53712000</v>
      </c>
      <c r="E37" t="str">
        <f xml:space="preserve"> A37 &amp; " Q" &amp; B37</f>
        <v>2008 Q3</v>
      </c>
      <c r="F37" s="2">
        <f>DATE(A37, (B37-1)*3 + 1, 1)</f>
        <v>39630</v>
      </c>
    </row>
    <row r="38" spans="1:6" x14ac:dyDescent="0.3">
      <c r="A38">
        <v>2008</v>
      </c>
      <c r="B38">
        <v>3</v>
      </c>
      <c r="C38" t="s">
        <v>12</v>
      </c>
      <c r="D38">
        <v>264152000</v>
      </c>
      <c r="E38" t="str">
        <f xml:space="preserve"> A38 &amp; " Q" &amp; B38</f>
        <v>2008 Q3</v>
      </c>
      <c r="F38" s="2">
        <f>DATE(A38, (B38-1)*3 + 1, 1)</f>
        <v>39630</v>
      </c>
    </row>
    <row r="39" spans="1:6" x14ac:dyDescent="0.3">
      <c r="A39">
        <v>2008</v>
      </c>
      <c r="B39">
        <v>3</v>
      </c>
      <c r="C39" t="s">
        <v>13</v>
      </c>
      <c r="D39">
        <v>24572000</v>
      </c>
      <c r="E39" t="str">
        <f xml:space="preserve"> A39 &amp; " Q" &amp; B39</f>
        <v>2008 Q3</v>
      </c>
      <c r="F39" s="2">
        <f>DATE(A39, (B39-1)*3 + 1, 1)</f>
        <v>39630</v>
      </c>
    </row>
    <row r="40" spans="1:6" x14ac:dyDescent="0.3">
      <c r="A40">
        <v>2008</v>
      </c>
      <c r="B40">
        <v>3</v>
      </c>
      <c r="C40" t="s">
        <v>14</v>
      </c>
      <c r="D40">
        <v>136008000</v>
      </c>
      <c r="E40" t="str">
        <f xml:space="preserve"> A40 &amp; " Q" &amp; B40</f>
        <v>2008 Q3</v>
      </c>
      <c r="F40" s="2">
        <f>DATE(A40, (B40-1)*3 + 1, 1)</f>
        <v>39630</v>
      </c>
    </row>
    <row r="41" spans="1:6" x14ac:dyDescent="0.3">
      <c r="A41">
        <v>2008</v>
      </c>
      <c r="B41">
        <v>3</v>
      </c>
      <c r="C41" t="s">
        <v>15</v>
      </c>
      <c r="D41">
        <v>93417000</v>
      </c>
      <c r="E41" t="str">
        <f xml:space="preserve"> A41 &amp; " Q" &amp; B41</f>
        <v>2008 Q3</v>
      </c>
      <c r="F41" s="2">
        <f>DATE(A41, (B41-1)*3 + 1, 1)</f>
        <v>39630</v>
      </c>
    </row>
    <row r="42" spans="1:6" x14ac:dyDescent="0.3">
      <c r="A42">
        <v>2008</v>
      </c>
      <c r="B42">
        <v>3</v>
      </c>
      <c r="C42" t="s">
        <v>16</v>
      </c>
      <c r="D42">
        <v>70123000</v>
      </c>
      <c r="E42" t="str">
        <f xml:space="preserve"> A42 &amp; " Q" &amp; B42</f>
        <v>2008 Q3</v>
      </c>
      <c r="F42" s="2">
        <f>DATE(A42, (B42-1)*3 + 1, 1)</f>
        <v>39630</v>
      </c>
    </row>
    <row r="43" spans="1:6" x14ac:dyDescent="0.3">
      <c r="A43">
        <v>2008</v>
      </c>
      <c r="B43">
        <v>3</v>
      </c>
      <c r="C43" t="s">
        <v>17</v>
      </c>
      <c r="D43">
        <v>150376000</v>
      </c>
      <c r="E43" t="str">
        <f xml:space="preserve"> A43 &amp; " Q" &amp; B43</f>
        <v>2008 Q3</v>
      </c>
      <c r="F43" s="2">
        <f>DATE(A43, (B43-1)*3 + 1, 1)</f>
        <v>39630</v>
      </c>
    </row>
    <row r="44" spans="1:6" x14ac:dyDescent="0.3">
      <c r="A44">
        <v>2008</v>
      </c>
      <c r="B44">
        <v>4</v>
      </c>
      <c r="C44" t="s">
        <v>4</v>
      </c>
      <c r="D44">
        <v>162708000</v>
      </c>
      <c r="E44" t="str">
        <f xml:space="preserve"> A44 &amp; " Q" &amp; B44</f>
        <v>2008 Q4</v>
      </c>
      <c r="F44" s="2">
        <f>DATE(A44, (B44-1)*3 + 1, 1)</f>
        <v>39722</v>
      </c>
    </row>
    <row r="45" spans="1:6" x14ac:dyDescent="0.3">
      <c r="A45">
        <v>2008</v>
      </c>
      <c r="B45">
        <v>4</v>
      </c>
      <c r="C45" t="s">
        <v>5</v>
      </c>
      <c r="D45">
        <v>419014000</v>
      </c>
      <c r="E45" t="str">
        <f xml:space="preserve"> A45 &amp; " Q" &amp; B45</f>
        <v>2008 Q4</v>
      </c>
      <c r="F45" s="2">
        <f>DATE(A45, (B45-1)*3 + 1, 1)</f>
        <v>39722</v>
      </c>
    </row>
    <row r="46" spans="1:6" x14ac:dyDescent="0.3">
      <c r="A46">
        <v>2008</v>
      </c>
      <c r="B46">
        <v>4</v>
      </c>
      <c r="C46" t="s">
        <v>6</v>
      </c>
      <c r="D46">
        <v>139785000</v>
      </c>
      <c r="E46" t="str">
        <f xml:space="preserve"> A46 &amp; " Q" &amp; B46</f>
        <v>2008 Q4</v>
      </c>
      <c r="F46" s="2">
        <f>DATE(A46, (B46-1)*3 + 1, 1)</f>
        <v>39722</v>
      </c>
    </row>
    <row r="47" spans="1:6" x14ac:dyDescent="0.3">
      <c r="A47">
        <v>2008</v>
      </c>
      <c r="B47">
        <v>4</v>
      </c>
      <c r="C47" t="s">
        <v>7</v>
      </c>
      <c r="D47">
        <v>167851000</v>
      </c>
      <c r="E47" t="str">
        <f xml:space="preserve"> A47 &amp; " Q" &amp; B47</f>
        <v>2008 Q4</v>
      </c>
      <c r="F47" s="2">
        <f>DATE(A47, (B47-1)*3 + 1, 1)</f>
        <v>39722</v>
      </c>
    </row>
    <row r="48" spans="1:6" x14ac:dyDescent="0.3">
      <c r="A48">
        <v>2008</v>
      </c>
      <c r="B48">
        <v>4</v>
      </c>
      <c r="C48" t="s">
        <v>8</v>
      </c>
      <c r="D48">
        <v>79520000</v>
      </c>
      <c r="E48" t="str">
        <f xml:space="preserve"> A48 &amp; " Q" &amp; B48</f>
        <v>2008 Q4</v>
      </c>
      <c r="F48" s="2">
        <f>DATE(A48, (B48-1)*3 + 1, 1)</f>
        <v>39722</v>
      </c>
    </row>
    <row r="49" spans="1:6" x14ac:dyDescent="0.3">
      <c r="A49">
        <v>2008</v>
      </c>
      <c r="B49">
        <v>4</v>
      </c>
      <c r="C49" t="s">
        <v>9</v>
      </c>
      <c r="D49">
        <v>253344000</v>
      </c>
      <c r="E49" t="str">
        <f xml:space="preserve"> A49 &amp; " Q" &amp; B49</f>
        <v>2008 Q4</v>
      </c>
      <c r="F49" s="2">
        <f>DATE(A49, (B49-1)*3 + 1, 1)</f>
        <v>39722</v>
      </c>
    </row>
    <row r="50" spans="1:6" x14ac:dyDescent="0.3">
      <c r="A50">
        <v>2008</v>
      </c>
      <c r="B50">
        <v>4</v>
      </c>
      <c r="C50" t="s">
        <v>10</v>
      </c>
      <c r="D50">
        <v>7421000</v>
      </c>
      <c r="E50" t="str">
        <f xml:space="preserve"> A50 &amp; " Q" &amp; B50</f>
        <v>2008 Q4</v>
      </c>
      <c r="F50" s="2">
        <f>DATE(A50, (B50-1)*3 + 1, 1)</f>
        <v>39722</v>
      </c>
    </row>
    <row r="51" spans="1:6" x14ac:dyDescent="0.3">
      <c r="A51">
        <v>2008</v>
      </c>
      <c r="B51">
        <v>4</v>
      </c>
      <c r="C51" t="s">
        <v>11</v>
      </c>
      <c r="D51">
        <v>42038000</v>
      </c>
      <c r="E51" t="str">
        <f xml:space="preserve"> A51 &amp; " Q" &amp; B51</f>
        <v>2008 Q4</v>
      </c>
      <c r="F51" s="2">
        <f>DATE(A51, (B51-1)*3 + 1, 1)</f>
        <v>39722</v>
      </c>
    </row>
    <row r="52" spans="1:6" x14ac:dyDescent="0.3">
      <c r="A52">
        <v>2008</v>
      </c>
      <c r="B52">
        <v>4</v>
      </c>
      <c r="C52" t="s">
        <v>12</v>
      </c>
      <c r="D52">
        <v>202184000</v>
      </c>
      <c r="E52" t="str">
        <f xml:space="preserve"> A52 &amp; " Q" &amp; B52</f>
        <v>2008 Q4</v>
      </c>
      <c r="F52" s="2">
        <f>DATE(A52, (B52-1)*3 + 1, 1)</f>
        <v>39722</v>
      </c>
    </row>
    <row r="53" spans="1:6" x14ac:dyDescent="0.3">
      <c r="A53">
        <v>2008</v>
      </c>
      <c r="B53">
        <v>4</v>
      </c>
      <c r="C53" t="s">
        <v>13</v>
      </c>
      <c r="D53">
        <v>18102000</v>
      </c>
      <c r="E53" t="str">
        <f xml:space="preserve"> A53 &amp; " Q" &amp; B53</f>
        <v>2008 Q4</v>
      </c>
      <c r="F53" s="2">
        <f>DATE(A53, (B53-1)*3 + 1, 1)</f>
        <v>39722</v>
      </c>
    </row>
    <row r="54" spans="1:6" x14ac:dyDescent="0.3">
      <c r="A54">
        <v>2008</v>
      </c>
      <c r="B54">
        <v>4</v>
      </c>
      <c r="C54" t="s">
        <v>14</v>
      </c>
      <c r="D54">
        <v>105258000</v>
      </c>
      <c r="E54" t="str">
        <f xml:space="preserve"> A54 &amp; " Q" &amp; B54</f>
        <v>2008 Q4</v>
      </c>
      <c r="F54" s="2">
        <f>DATE(A54, (B54-1)*3 + 1, 1)</f>
        <v>39722</v>
      </c>
    </row>
    <row r="55" spans="1:6" x14ac:dyDescent="0.3">
      <c r="A55">
        <v>2008</v>
      </c>
      <c r="B55">
        <v>4</v>
      </c>
      <c r="C55" t="s">
        <v>15</v>
      </c>
      <c r="D55">
        <v>67162000</v>
      </c>
      <c r="E55" t="str">
        <f xml:space="preserve"> A55 &amp; " Q" &amp; B55</f>
        <v>2008 Q4</v>
      </c>
      <c r="F55" s="2">
        <f>DATE(A55, (B55-1)*3 + 1, 1)</f>
        <v>39722</v>
      </c>
    </row>
    <row r="56" spans="1:6" x14ac:dyDescent="0.3">
      <c r="A56">
        <v>2008</v>
      </c>
      <c r="B56">
        <v>4</v>
      </c>
      <c r="C56" t="s">
        <v>16</v>
      </c>
      <c r="D56">
        <v>55708000</v>
      </c>
      <c r="E56" t="str">
        <f xml:space="preserve"> A56 &amp; " Q" &amp; B56</f>
        <v>2008 Q4</v>
      </c>
      <c r="F56" s="2">
        <f>DATE(A56, (B56-1)*3 + 1, 1)</f>
        <v>39722</v>
      </c>
    </row>
    <row r="57" spans="1:6" x14ac:dyDescent="0.3">
      <c r="A57">
        <v>2008</v>
      </c>
      <c r="B57">
        <v>4</v>
      </c>
      <c r="C57" t="s">
        <v>17</v>
      </c>
      <c r="D57">
        <v>109437000</v>
      </c>
      <c r="E57" t="str">
        <f xml:space="preserve"> A57 &amp; " Q" &amp; B57</f>
        <v>2008 Q4</v>
      </c>
      <c r="F57" s="2">
        <f>DATE(A57, (B57-1)*3 + 1, 1)</f>
        <v>39722</v>
      </c>
    </row>
    <row r="58" spans="1:6" x14ac:dyDescent="0.3">
      <c r="A58">
        <v>2009</v>
      </c>
      <c r="B58">
        <v>1</v>
      </c>
      <c r="C58" t="s">
        <v>4</v>
      </c>
      <c r="D58">
        <v>147150000</v>
      </c>
      <c r="E58" t="str">
        <f xml:space="preserve"> A58 &amp; " Q" &amp; B58</f>
        <v>2009 Q1</v>
      </c>
      <c r="F58" s="2">
        <f>DATE(A58, (B58-1)*3 + 1, 1)</f>
        <v>39814</v>
      </c>
    </row>
    <row r="59" spans="1:6" x14ac:dyDescent="0.3">
      <c r="A59">
        <v>2009</v>
      </c>
      <c r="B59">
        <v>1</v>
      </c>
      <c r="C59" t="s">
        <v>5</v>
      </c>
      <c r="D59">
        <v>365064000</v>
      </c>
      <c r="E59" t="str">
        <f xml:space="preserve"> A59 &amp; " Q" &amp; B59</f>
        <v>2009 Q1</v>
      </c>
      <c r="F59" s="2">
        <f>DATE(A59, (B59-1)*3 + 1, 1)</f>
        <v>39814</v>
      </c>
    </row>
    <row r="60" spans="1:6" x14ac:dyDescent="0.3">
      <c r="A60">
        <v>2009</v>
      </c>
      <c r="B60">
        <v>1</v>
      </c>
      <c r="C60" t="s">
        <v>18</v>
      </c>
      <c r="D60">
        <v>103053000</v>
      </c>
      <c r="E60" t="str">
        <f xml:space="preserve"> A60 &amp; " Q" &amp; B60</f>
        <v>2009 Q1</v>
      </c>
      <c r="F60" s="2">
        <f>DATE(A60, (B60-1)*3 + 1, 1)</f>
        <v>39814</v>
      </c>
    </row>
    <row r="61" spans="1:6" x14ac:dyDescent="0.3">
      <c r="A61">
        <v>2009</v>
      </c>
      <c r="B61">
        <v>1</v>
      </c>
      <c r="C61" t="s">
        <v>19</v>
      </c>
      <c r="D61">
        <v>22194000</v>
      </c>
      <c r="E61" t="str">
        <f xml:space="preserve"> A61 &amp; " Q" &amp; B61</f>
        <v>2009 Q1</v>
      </c>
      <c r="F61" s="2">
        <f>DATE(A61, (B61-1)*3 + 1, 1)</f>
        <v>39814</v>
      </c>
    </row>
    <row r="62" spans="1:6" x14ac:dyDescent="0.3">
      <c r="A62">
        <v>2009</v>
      </c>
      <c r="B62">
        <v>1</v>
      </c>
      <c r="C62" t="s">
        <v>7</v>
      </c>
      <c r="D62">
        <v>162119000</v>
      </c>
      <c r="E62" t="str">
        <f xml:space="preserve"> A62 &amp; " Q" &amp; B62</f>
        <v>2009 Q1</v>
      </c>
      <c r="F62" s="2">
        <f>DATE(A62, (B62-1)*3 + 1, 1)</f>
        <v>39814</v>
      </c>
    </row>
    <row r="63" spans="1:6" x14ac:dyDescent="0.3">
      <c r="A63">
        <v>2009</v>
      </c>
      <c r="B63">
        <v>1</v>
      </c>
      <c r="C63" t="s">
        <v>8</v>
      </c>
      <c r="D63">
        <v>64458000</v>
      </c>
      <c r="E63" t="str">
        <f xml:space="preserve"> A63 &amp; " Q" &amp; B63</f>
        <v>2009 Q1</v>
      </c>
      <c r="F63" s="2">
        <f>DATE(A63, (B63-1)*3 + 1, 1)</f>
        <v>39814</v>
      </c>
    </row>
    <row r="64" spans="1:6" x14ac:dyDescent="0.3">
      <c r="A64">
        <v>2009</v>
      </c>
      <c r="B64">
        <v>1</v>
      </c>
      <c r="C64" t="s">
        <v>9</v>
      </c>
      <c r="D64">
        <v>247017000</v>
      </c>
      <c r="E64" t="str">
        <f xml:space="preserve"> A64 &amp; " Q" &amp; B64</f>
        <v>2009 Q1</v>
      </c>
      <c r="F64" s="2">
        <f>DATE(A64, (B64-1)*3 + 1, 1)</f>
        <v>39814</v>
      </c>
    </row>
    <row r="65" spans="1:6" x14ac:dyDescent="0.3">
      <c r="A65">
        <v>2009</v>
      </c>
      <c r="B65">
        <v>1</v>
      </c>
      <c r="C65" t="s">
        <v>10</v>
      </c>
      <c r="D65">
        <v>6274000</v>
      </c>
      <c r="E65" t="str">
        <f xml:space="preserve"> A65 &amp; " Q" &amp; B65</f>
        <v>2009 Q1</v>
      </c>
      <c r="F65" s="2">
        <f>DATE(A65, (B65-1)*3 + 1, 1)</f>
        <v>39814</v>
      </c>
    </row>
    <row r="66" spans="1:6" x14ac:dyDescent="0.3">
      <c r="A66">
        <v>2009</v>
      </c>
      <c r="B66">
        <v>1</v>
      </c>
      <c r="C66" t="s">
        <v>11</v>
      </c>
      <c r="D66">
        <v>31249000</v>
      </c>
      <c r="E66" t="str">
        <f xml:space="preserve"> A66 &amp; " Q" &amp; B66</f>
        <v>2009 Q1</v>
      </c>
      <c r="F66" s="2">
        <f>DATE(A66, (B66-1)*3 + 1, 1)</f>
        <v>39814</v>
      </c>
    </row>
    <row r="67" spans="1:6" x14ac:dyDescent="0.3">
      <c r="A67">
        <v>2009</v>
      </c>
      <c r="B67">
        <v>1</v>
      </c>
      <c r="C67" t="s">
        <v>12</v>
      </c>
      <c r="D67">
        <v>181200000</v>
      </c>
      <c r="E67" t="str">
        <f xml:space="preserve"> A67 &amp; " Q" &amp; B67</f>
        <v>2009 Q1</v>
      </c>
      <c r="F67" s="2">
        <f>DATE(A67, (B67-1)*3 + 1, 1)</f>
        <v>39814</v>
      </c>
    </row>
    <row r="68" spans="1:6" x14ac:dyDescent="0.3">
      <c r="A68">
        <v>2009</v>
      </c>
      <c r="B68">
        <v>1</v>
      </c>
      <c r="C68" t="s">
        <v>13</v>
      </c>
      <c r="D68">
        <v>16302000</v>
      </c>
      <c r="E68" t="str">
        <f xml:space="preserve"> A68 &amp; " Q" &amp; B68</f>
        <v>2009 Q1</v>
      </c>
      <c r="F68" s="2">
        <f>DATE(A68, (B68-1)*3 + 1, 1)</f>
        <v>39814</v>
      </c>
    </row>
    <row r="69" spans="1:6" x14ac:dyDescent="0.3">
      <c r="A69">
        <v>2009</v>
      </c>
      <c r="B69">
        <v>1</v>
      </c>
      <c r="C69" t="s">
        <v>14</v>
      </c>
      <c r="D69">
        <v>95235000</v>
      </c>
      <c r="E69" t="str">
        <f xml:space="preserve"> A69 &amp; " Q" &amp; B69</f>
        <v>2009 Q1</v>
      </c>
      <c r="F69" s="2">
        <f>DATE(A69, (B69-1)*3 + 1, 1)</f>
        <v>39814</v>
      </c>
    </row>
    <row r="70" spans="1:6" x14ac:dyDescent="0.3">
      <c r="A70">
        <v>2009</v>
      </c>
      <c r="B70">
        <v>1</v>
      </c>
      <c r="C70" t="s">
        <v>15</v>
      </c>
      <c r="D70">
        <v>64698000</v>
      </c>
      <c r="E70" t="str">
        <f xml:space="preserve"> A70 &amp; " Q" &amp; B70</f>
        <v>2009 Q1</v>
      </c>
      <c r="F70" s="2">
        <f>DATE(A70, (B70-1)*3 + 1, 1)</f>
        <v>39814</v>
      </c>
    </row>
    <row r="71" spans="1:6" x14ac:dyDescent="0.3">
      <c r="A71">
        <v>2009</v>
      </c>
      <c r="B71">
        <v>1</v>
      </c>
      <c r="C71" t="s">
        <v>16</v>
      </c>
      <c r="D71">
        <v>55351000</v>
      </c>
      <c r="E71" t="str">
        <f xml:space="preserve"> A71 &amp; " Q" &amp; B71</f>
        <v>2009 Q1</v>
      </c>
      <c r="F71" s="2">
        <f>DATE(A71, (B71-1)*3 + 1, 1)</f>
        <v>39814</v>
      </c>
    </row>
    <row r="72" spans="1:6" x14ac:dyDescent="0.3">
      <c r="A72">
        <v>2009</v>
      </c>
      <c r="B72">
        <v>1</v>
      </c>
      <c r="C72" t="s">
        <v>17</v>
      </c>
      <c r="D72">
        <v>95791000</v>
      </c>
      <c r="E72" t="str">
        <f xml:space="preserve"> A72 &amp; " Q" &amp; B72</f>
        <v>2009 Q1</v>
      </c>
      <c r="F72" s="2">
        <f>DATE(A72, (B72-1)*3 + 1, 1)</f>
        <v>39814</v>
      </c>
    </row>
    <row r="73" spans="1:6" x14ac:dyDescent="0.3">
      <c r="A73">
        <v>2009</v>
      </c>
      <c r="B73">
        <v>2</v>
      </c>
      <c r="C73" t="s">
        <v>4</v>
      </c>
      <c r="D73">
        <v>172276000</v>
      </c>
      <c r="E73" t="str">
        <f xml:space="preserve"> A73 &amp; " Q" &amp; B73</f>
        <v>2009 Q2</v>
      </c>
      <c r="F73" s="2">
        <f>DATE(A73, (B73-1)*3 + 1, 1)</f>
        <v>39904</v>
      </c>
    </row>
    <row r="74" spans="1:6" x14ac:dyDescent="0.3">
      <c r="A74">
        <v>2009</v>
      </c>
      <c r="B74">
        <v>2</v>
      </c>
      <c r="C74" t="s">
        <v>5</v>
      </c>
      <c r="D74">
        <v>417140000</v>
      </c>
      <c r="E74" t="str">
        <f xml:space="preserve"> A74 &amp; " Q" &amp; B74</f>
        <v>2009 Q2</v>
      </c>
      <c r="F74" s="2">
        <f>DATE(A74, (B74-1)*3 + 1, 1)</f>
        <v>39904</v>
      </c>
    </row>
    <row r="75" spans="1:6" x14ac:dyDescent="0.3">
      <c r="A75">
        <v>2009</v>
      </c>
      <c r="B75">
        <v>2</v>
      </c>
      <c r="C75" t="s">
        <v>18</v>
      </c>
      <c r="D75">
        <v>112752000</v>
      </c>
      <c r="E75" t="str">
        <f xml:space="preserve"> A75 &amp; " Q" &amp; B75</f>
        <v>2009 Q2</v>
      </c>
      <c r="F75" s="2">
        <f>DATE(A75, (B75-1)*3 + 1, 1)</f>
        <v>39904</v>
      </c>
    </row>
    <row r="76" spans="1:6" x14ac:dyDescent="0.3">
      <c r="A76">
        <v>2009</v>
      </c>
      <c r="B76">
        <v>2</v>
      </c>
      <c r="C76" t="s">
        <v>19</v>
      </c>
      <c r="D76">
        <v>28191000</v>
      </c>
      <c r="E76" t="str">
        <f xml:space="preserve"> A76 &amp; " Q" &amp; B76</f>
        <v>2009 Q2</v>
      </c>
      <c r="F76" s="2">
        <f>DATE(A76, (B76-1)*3 + 1, 1)</f>
        <v>39904</v>
      </c>
    </row>
    <row r="77" spans="1:6" x14ac:dyDescent="0.3">
      <c r="A77">
        <v>2009</v>
      </c>
      <c r="B77">
        <v>2</v>
      </c>
      <c r="C77" t="s">
        <v>7</v>
      </c>
      <c r="D77">
        <v>178819000</v>
      </c>
      <c r="E77" t="str">
        <f xml:space="preserve"> A77 &amp; " Q" &amp; B77</f>
        <v>2009 Q2</v>
      </c>
      <c r="F77" s="2">
        <f>DATE(A77, (B77-1)*3 + 1, 1)</f>
        <v>39904</v>
      </c>
    </row>
    <row r="78" spans="1:6" x14ac:dyDescent="0.3">
      <c r="A78">
        <v>2009</v>
      </c>
      <c r="B78">
        <v>2</v>
      </c>
      <c r="C78" t="s">
        <v>8</v>
      </c>
      <c r="D78">
        <v>75080000</v>
      </c>
      <c r="E78" t="str">
        <f xml:space="preserve"> A78 &amp; " Q" &amp; B78</f>
        <v>2009 Q2</v>
      </c>
      <c r="F78" s="2">
        <f>DATE(A78, (B78-1)*3 + 1, 1)</f>
        <v>39904</v>
      </c>
    </row>
    <row r="79" spans="1:6" x14ac:dyDescent="0.3">
      <c r="A79">
        <v>2009</v>
      </c>
      <c r="B79">
        <v>2</v>
      </c>
      <c r="C79" t="s">
        <v>9</v>
      </c>
      <c r="D79">
        <v>258889000</v>
      </c>
      <c r="E79" t="str">
        <f xml:space="preserve"> A79 &amp; " Q" &amp; B79</f>
        <v>2009 Q2</v>
      </c>
      <c r="F79" s="2">
        <f>DATE(A79, (B79-1)*3 + 1, 1)</f>
        <v>39904</v>
      </c>
    </row>
    <row r="80" spans="1:6" x14ac:dyDescent="0.3">
      <c r="A80">
        <v>2009</v>
      </c>
      <c r="B80">
        <v>2</v>
      </c>
      <c r="C80" t="s">
        <v>10</v>
      </c>
      <c r="D80">
        <v>6770000</v>
      </c>
      <c r="E80" t="str">
        <f xml:space="preserve"> A80 &amp; " Q" &amp; B80</f>
        <v>2009 Q2</v>
      </c>
      <c r="F80" s="2">
        <f>DATE(A80, (B80-1)*3 + 1, 1)</f>
        <v>39904</v>
      </c>
    </row>
    <row r="81" spans="1:6" x14ac:dyDescent="0.3">
      <c r="A81">
        <v>2009</v>
      </c>
      <c r="B81">
        <v>2</v>
      </c>
      <c r="C81" t="s">
        <v>11</v>
      </c>
      <c r="D81">
        <v>33571000</v>
      </c>
      <c r="E81" t="str">
        <f xml:space="preserve"> A81 &amp; " Q" &amp; B81</f>
        <v>2009 Q2</v>
      </c>
      <c r="F81" s="2">
        <f>DATE(A81, (B81-1)*3 + 1, 1)</f>
        <v>39904</v>
      </c>
    </row>
    <row r="82" spans="1:6" x14ac:dyDescent="0.3">
      <c r="A82">
        <v>2009</v>
      </c>
      <c r="B82">
        <v>2</v>
      </c>
      <c r="C82" t="s">
        <v>12</v>
      </c>
      <c r="D82">
        <v>196617000</v>
      </c>
      <c r="E82" t="str">
        <f xml:space="preserve"> A82 &amp; " Q" &amp; B82</f>
        <v>2009 Q2</v>
      </c>
      <c r="F82" s="2">
        <f>DATE(A82, (B82-1)*3 + 1, 1)</f>
        <v>39904</v>
      </c>
    </row>
    <row r="83" spans="1:6" x14ac:dyDescent="0.3">
      <c r="A83">
        <v>2009</v>
      </c>
      <c r="B83">
        <v>2</v>
      </c>
      <c r="C83" t="s">
        <v>13</v>
      </c>
      <c r="D83">
        <v>17518000</v>
      </c>
      <c r="E83" t="str">
        <f xml:space="preserve"> A83 &amp; " Q" &amp; B83</f>
        <v>2009 Q2</v>
      </c>
      <c r="F83" s="2">
        <f>DATE(A83, (B83-1)*3 + 1, 1)</f>
        <v>39904</v>
      </c>
    </row>
    <row r="84" spans="1:6" x14ac:dyDescent="0.3">
      <c r="A84">
        <v>2009</v>
      </c>
      <c r="B84">
        <v>2</v>
      </c>
      <c r="C84" t="s">
        <v>14</v>
      </c>
      <c r="D84">
        <v>100387000</v>
      </c>
      <c r="E84" t="str">
        <f xml:space="preserve"> A84 &amp; " Q" &amp; B84</f>
        <v>2009 Q2</v>
      </c>
      <c r="F84" s="2">
        <f>DATE(A84, (B84-1)*3 + 1, 1)</f>
        <v>39904</v>
      </c>
    </row>
    <row r="85" spans="1:6" x14ac:dyDescent="0.3">
      <c r="A85">
        <v>2009</v>
      </c>
      <c r="B85">
        <v>2</v>
      </c>
      <c r="C85" t="s">
        <v>15</v>
      </c>
      <c r="D85">
        <v>63092000</v>
      </c>
      <c r="E85" t="str">
        <f xml:space="preserve"> A85 &amp; " Q" &amp; B85</f>
        <v>2009 Q2</v>
      </c>
      <c r="F85" s="2">
        <f>DATE(A85, (B85-1)*3 + 1, 1)</f>
        <v>39904</v>
      </c>
    </row>
    <row r="86" spans="1:6" x14ac:dyDescent="0.3">
      <c r="A86">
        <v>2009</v>
      </c>
      <c r="B86">
        <v>2</v>
      </c>
      <c r="C86" t="s">
        <v>16</v>
      </c>
      <c r="D86">
        <v>56701000</v>
      </c>
      <c r="E86" t="str">
        <f xml:space="preserve"> A86 &amp; " Q" &amp; B86</f>
        <v>2009 Q2</v>
      </c>
      <c r="F86" s="2">
        <f>DATE(A86, (B86-1)*3 + 1, 1)</f>
        <v>39904</v>
      </c>
    </row>
    <row r="87" spans="1:6" x14ac:dyDescent="0.3">
      <c r="A87">
        <v>2009</v>
      </c>
      <c r="B87">
        <v>2</v>
      </c>
      <c r="C87" t="s">
        <v>17</v>
      </c>
      <c r="D87">
        <v>109147000</v>
      </c>
      <c r="E87" t="str">
        <f xml:space="preserve"> A87 &amp; " Q" &amp; B87</f>
        <v>2009 Q2</v>
      </c>
      <c r="F87" s="2">
        <f>DATE(A87, (B87-1)*3 + 1, 1)</f>
        <v>39904</v>
      </c>
    </row>
    <row r="88" spans="1:6" x14ac:dyDescent="0.3">
      <c r="A88">
        <v>2009</v>
      </c>
      <c r="B88">
        <v>3</v>
      </c>
      <c r="C88" t="s">
        <v>4</v>
      </c>
      <c r="D88">
        <v>209599000</v>
      </c>
      <c r="E88" t="str">
        <f xml:space="preserve"> A88 &amp; " Q" &amp; B88</f>
        <v>2009 Q3</v>
      </c>
      <c r="F88" s="2">
        <f>DATE(A88, (B88-1)*3 + 1, 1)</f>
        <v>39995</v>
      </c>
    </row>
    <row r="89" spans="1:6" x14ac:dyDescent="0.3">
      <c r="A89">
        <v>2009</v>
      </c>
      <c r="B89">
        <v>3</v>
      </c>
      <c r="C89" t="s">
        <v>5</v>
      </c>
      <c r="D89">
        <v>559316000</v>
      </c>
      <c r="E89" t="str">
        <f xml:space="preserve"> A89 &amp; " Q" &amp; B89</f>
        <v>2009 Q3</v>
      </c>
      <c r="F89" s="2">
        <f>DATE(A89, (B89-1)*3 + 1, 1)</f>
        <v>39995</v>
      </c>
    </row>
    <row r="90" spans="1:6" x14ac:dyDescent="0.3">
      <c r="A90">
        <v>2009</v>
      </c>
      <c r="B90">
        <v>3</v>
      </c>
      <c r="C90" t="s">
        <v>18</v>
      </c>
      <c r="D90">
        <v>138918000</v>
      </c>
      <c r="E90" t="str">
        <f xml:space="preserve"> A90 &amp; " Q" &amp; B90</f>
        <v>2009 Q3</v>
      </c>
      <c r="F90" s="2">
        <f>DATE(A90, (B90-1)*3 + 1, 1)</f>
        <v>39995</v>
      </c>
    </row>
    <row r="91" spans="1:6" x14ac:dyDescent="0.3">
      <c r="A91">
        <v>2009</v>
      </c>
      <c r="B91">
        <v>3</v>
      </c>
      <c r="C91" t="s">
        <v>19</v>
      </c>
      <c r="D91">
        <v>31291000</v>
      </c>
      <c r="E91" t="str">
        <f xml:space="preserve"> A91 &amp; " Q" &amp; B91</f>
        <v>2009 Q3</v>
      </c>
      <c r="F91" s="2">
        <f>DATE(A91, (B91-1)*3 + 1, 1)</f>
        <v>39995</v>
      </c>
    </row>
    <row r="92" spans="1:6" x14ac:dyDescent="0.3">
      <c r="A92">
        <v>2009</v>
      </c>
      <c r="B92">
        <v>3</v>
      </c>
      <c r="C92" t="s">
        <v>7</v>
      </c>
      <c r="D92">
        <v>194231000</v>
      </c>
      <c r="E92" t="str">
        <f xml:space="preserve"> A92 &amp; " Q" &amp; B92</f>
        <v>2009 Q3</v>
      </c>
      <c r="F92" s="2">
        <f>DATE(A92, (B92-1)*3 + 1, 1)</f>
        <v>39995</v>
      </c>
    </row>
    <row r="93" spans="1:6" x14ac:dyDescent="0.3">
      <c r="A93">
        <v>2009</v>
      </c>
      <c r="B93">
        <v>3</v>
      </c>
      <c r="C93" t="s">
        <v>8</v>
      </c>
      <c r="D93">
        <v>71260000</v>
      </c>
      <c r="E93" t="str">
        <f xml:space="preserve"> A93 &amp; " Q" &amp; B93</f>
        <v>2009 Q3</v>
      </c>
      <c r="F93" s="2">
        <f>DATE(A93, (B93-1)*3 + 1, 1)</f>
        <v>39995</v>
      </c>
    </row>
    <row r="94" spans="1:6" x14ac:dyDescent="0.3">
      <c r="A94">
        <v>2009</v>
      </c>
      <c r="B94">
        <v>3</v>
      </c>
      <c r="C94" t="s">
        <v>9</v>
      </c>
      <c r="D94">
        <v>325340000</v>
      </c>
      <c r="E94" t="str">
        <f xml:space="preserve"> A94 &amp; " Q" &amp; B94</f>
        <v>2009 Q3</v>
      </c>
      <c r="F94" s="2">
        <f>DATE(A94, (B94-1)*3 + 1, 1)</f>
        <v>39995</v>
      </c>
    </row>
    <row r="95" spans="1:6" x14ac:dyDescent="0.3">
      <c r="A95">
        <v>2009</v>
      </c>
      <c r="B95">
        <v>3</v>
      </c>
      <c r="C95" t="s">
        <v>10</v>
      </c>
      <c r="D95">
        <v>9879000</v>
      </c>
      <c r="E95" t="str">
        <f xml:space="preserve"> A95 &amp; " Q" &amp; B95</f>
        <v>2009 Q3</v>
      </c>
      <c r="F95" s="2">
        <f>DATE(A95, (B95-1)*3 + 1, 1)</f>
        <v>39995</v>
      </c>
    </row>
    <row r="96" spans="1:6" x14ac:dyDescent="0.3">
      <c r="A96">
        <v>2009</v>
      </c>
      <c r="B96">
        <v>3</v>
      </c>
      <c r="C96" t="s">
        <v>11</v>
      </c>
      <c r="D96">
        <v>37634000</v>
      </c>
      <c r="E96" t="str">
        <f xml:space="preserve"> A96 &amp; " Q" &amp; B96</f>
        <v>2009 Q3</v>
      </c>
      <c r="F96" s="2">
        <f>DATE(A96, (B96-1)*3 + 1, 1)</f>
        <v>39995</v>
      </c>
    </row>
    <row r="97" spans="1:6" x14ac:dyDescent="0.3">
      <c r="A97">
        <v>2009</v>
      </c>
      <c r="B97">
        <v>3</v>
      </c>
      <c r="C97" t="s">
        <v>12</v>
      </c>
      <c r="D97">
        <v>227989000</v>
      </c>
      <c r="E97" t="str">
        <f xml:space="preserve"> A97 &amp; " Q" &amp; B97</f>
        <v>2009 Q3</v>
      </c>
      <c r="F97" s="2">
        <f>DATE(A97, (B97-1)*3 + 1, 1)</f>
        <v>39995</v>
      </c>
    </row>
    <row r="98" spans="1:6" x14ac:dyDescent="0.3">
      <c r="A98">
        <v>2009</v>
      </c>
      <c r="B98">
        <v>3</v>
      </c>
      <c r="C98" t="s">
        <v>13</v>
      </c>
      <c r="D98">
        <v>19444000</v>
      </c>
      <c r="E98" t="str">
        <f xml:space="preserve"> A98 &amp; " Q" &amp; B98</f>
        <v>2009 Q3</v>
      </c>
      <c r="F98" s="2">
        <f>DATE(A98, (B98-1)*3 + 1, 1)</f>
        <v>39995</v>
      </c>
    </row>
    <row r="99" spans="1:6" x14ac:dyDescent="0.3">
      <c r="A99">
        <v>2009</v>
      </c>
      <c r="B99">
        <v>3</v>
      </c>
      <c r="C99" t="s">
        <v>14</v>
      </c>
      <c r="D99">
        <v>138582000</v>
      </c>
      <c r="E99" t="str">
        <f xml:space="preserve"> A99 &amp; " Q" &amp; B99</f>
        <v>2009 Q3</v>
      </c>
      <c r="F99" s="2">
        <f>DATE(A99, (B99-1)*3 + 1, 1)</f>
        <v>39995</v>
      </c>
    </row>
    <row r="100" spans="1:6" x14ac:dyDescent="0.3">
      <c r="A100">
        <v>2009</v>
      </c>
      <c r="B100">
        <v>3</v>
      </c>
      <c r="C100" t="s">
        <v>15</v>
      </c>
      <c r="D100">
        <v>69293000</v>
      </c>
      <c r="E100" t="str">
        <f xml:space="preserve"> A100 &amp; " Q" &amp; B100</f>
        <v>2009 Q3</v>
      </c>
      <c r="F100" s="2">
        <f>DATE(A100, (B100-1)*3 + 1, 1)</f>
        <v>39995</v>
      </c>
    </row>
    <row r="101" spans="1:6" x14ac:dyDescent="0.3">
      <c r="A101">
        <v>2009</v>
      </c>
      <c r="B101">
        <v>3</v>
      </c>
      <c r="C101" t="s">
        <v>16</v>
      </c>
      <c r="D101">
        <v>66050000</v>
      </c>
      <c r="E101" t="str">
        <f xml:space="preserve"> A101 &amp; " Q" &amp; B101</f>
        <v>2009 Q3</v>
      </c>
      <c r="F101" s="2">
        <f>DATE(A101, (B101-1)*3 + 1, 1)</f>
        <v>39995</v>
      </c>
    </row>
    <row r="102" spans="1:6" x14ac:dyDescent="0.3">
      <c r="A102">
        <v>2009</v>
      </c>
      <c r="B102">
        <v>3</v>
      </c>
      <c r="C102" t="s">
        <v>17</v>
      </c>
      <c r="D102">
        <v>124297000</v>
      </c>
      <c r="E102" t="str">
        <f xml:space="preserve"> A102 &amp; " Q" &amp; B102</f>
        <v>2009 Q3</v>
      </c>
      <c r="F102" s="2">
        <f>DATE(A102, (B102-1)*3 + 1, 1)</f>
        <v>39995</v>
      </c>
    </row>
    <row r="103" spans="1:6" x14ac:dyDescent="0.3">
      <c r="A103">
        <v>2009</v>
      </c>
      <c r="B103">
        <v>4</v>
      </c>
      <c r="C103" t="s">
        <v>4</v>
      </c>
      <c r="D103">
        <v>160889000</v>
      </c>
      <c r="E103" t="str">
        <f xml:space="preserve"> A103 &amp; " Q" &amp; B103</f>
        <v>2009 Q4</v>
      </c>
      <c r="F103" s="2">
        <f>DATE(A103, (B103-1)*3 + 1, 1)</f>
        <v>40087</v>
      </c>
    </row>
    <row r="104" spans="1:6" x14ac:dyDescent="0.3">
      <c r="A104">
        <v>2009</v>
      </c>
      <c r="B104">
        <v>4</v>
      </c>
      <c r="C104" t="s">
        <v>5</v>
      </c>
      <c r="D104">
        <v>446441000</v>
      </c>
      <c r="E104" t="str">
        <f xml:space="preserve"> A104 &amp; " Q" &amp; B104</f>
        <v>2009 Q4</v>
      </c>
      <c r="F104" s="2">
        <f>DATE(A104, (B104-1)*3 + 1, 1)</f>
        <v>40087</v>
      </c>
    </row>
    <row r="105" spans="1:6" x14ac:dyDescent="0.3">
      <c r="A105">
        <v>2009</v>
      </c>
      <c r="B105">
        <v>4</v>
      </c>
      <c r="C105" t="s">
        <v>18</v>
      </c>
      <c r="D105">
        <v>116696000</v>
      </c>
      <c r="E105" t="str">
        <f xml:space="preserve"> A105 &amp; " Q" &amp; B105</f>
        <v>2009 Q4</v>
      </c>
      <c r="F105" s="2">
        <f>DATE(A105, (B105-1)*3 + 1, 1)</f>
        <v>40087</v>
      </c>
    </row>
    <row r="106" spans="1:6" x14ac:dyDescent="0.3">
      <c r="A106">
        <v>2009</v>
      </c>
      <c r="B106">
        <v>4</v>
      </c>
      <c r="C106" t="s">
        <v>19</v>
      </c>
      <c r="D106">
        <v>25169000</v>
      </c>
      <c r="E106" t="str">
        <f xml:space="preserve"> A106 &amp; " Q" &amp; B106</f>
        <v>2009 Q4</v>
      </c>
      <c r="F106" s="2">
        <f>DATE(A106, (B106-1)*3 + 1, 1)</f>
        <v>40087</v>
      </c>
    </row>
    <row r="107" spans="1:6" x14ac:dyDescent="0.3">
      <c r="A107">
        <v>2009</v>
      </c>
      <c r="B107">
        <v>4</v>
      </c>
      <c r="C107" t="s">
        <v>7</v>
      </c>
      <c r="D107">
        <v>178906000</v>
      </c>
      <c r="E107" t="str">
        <f xml:space="preserve"> A107 &amp; " Q" &amp; B107</f>
        <v>2009 Q4</v>
      </c>
      <c r="F107" s="2">
        <f>DATE(A107, (B107-1)*3 + 1, 1)</f>
        <v>40087</v>
      </c>
    </row>
    <row r="108" spans="1:6" x14ac:dyDescent="0.3">
      <c r="A108">
        <v>2009</v>
      </c>
      <c r="B108">
        <v>4</v>
      </c>
      <c r="C108" t="s">
        <v>8</v>
      </c>
      <c r="D108">
        <v>75200000</v>
      </c>
      <c r="E108" t="str">
        <f xml:space="preserve"> A108 &amp; " Q" &amp; B108</f>
        <v>2009 Q4</v>
      </c>
      <c r="F108" s="2">
        <f>DATE(A108, (B108-1)*3 + 1, 1)</f>
        <v>40087</v>
      </c>
    </row>
    <row r="109" spans="1:6" x14ac:dyDescent="0.3">
      <c r="A109">
        <v>2009</v>
      </c>
      <c r="B109">
        <v>4</v>
      </c>
      <c r="C109" t="s">
        <v>9</v>
      </c>
      <c r="D109">
        <v>260771000</v>
      </c>
      <c r="E109" t="str">
        <f xml:space="preserve"> A109 &amp; " Q" &amp; B109</f>
        <v>2009 Q4</v>
      </c>
      <c r="F109" s="2">
        <f>DATE(A109, (B109-1)*3 + 1, 1)</f>
        <v>40087</v>
      </c>
    </row>
    <row r="110" spans="1:6" x14ac:dyDescent="0.3">
      <c r="A110">
        <v>2009</v>
      </c>
      <c r="B110">
        <v>4</v>
      </c>
      <c r="C110" t="s">
        <v>10</v>
      </c>
      <c r="D110">
        <v>7676000</v>
      </c>
      <c r="E110" t="str">
        <f xml:space="preserve"> A110 &amp; " Q" &amp; B110</f>
        <v>2009 Q4</v>
      </c>
      <c r="F110" s="2">
        <f>DATE(A110, (B110-1)*3 + 1, 1)</f>
        <v>40087</v>
      </c>
    </row>
    <row r="111" spans="1:6" x14ac:dyDescent="0.3">
      <c r="A111">
        <v>2009</v>
      </c>
      <c r="B111">
        <v>4</v>
      </c>
      <c r="C111" t="s">
        <v>11</v>
      </c>
      <c r="D111">
        <v>37662000</v>
      </c>
      <c r="E111" t="str">
        <f xml:space="preserve"> A111 &amp; " Q" &amp; B111</f>
        <v>2009 Q4</v>
      </c>
      <c r="F111" s="2">
        <f>DATE(A111, (B111-1)*3 + 1, 1)</f>
        <v>40087</v>
      </c>
    </row>
    <row r="112" spans="1:6" x14ac:dyDescent="0.3">
      <c r="A112">
        <v>2009</v>
      </c>
      <c r="B112">
        <v>4</v>
      </c>
      <c r="C112" t="s">
        <v>12</v>
      </c>
      <c r="D112">
        <v>196565000</v>
      </c>
      <c r="E112" t="str">
        <f xml:space="preserve"> A112 &amp; " Q" &amp; B112</f>
        <v>2009 Q4</v>
      </c>
      <c r="F112" s="2">
        <f>DATE(A112, (B112-1)*3 + 1, 1)</f>
        <v>40087</v>
      </c>
    </row>
    <row r="113" spans="1:6" x14ac:dyDescent="0.3">
      <c r="A113">
        <v>2009</v>
      </c>
      <c r="B113">
        <v>4</v>
      </c>
      <c r="C113" t="s">
        <v>13</v>
      </c>
      <c r="D113">
        <v>13793000</v>
      </c>
      <c r="E113" t="str">
        <f xml:space="preserve"> A113 &amp; " Q" &amp; B113</f>
        <v>2009 Q4</v>
      </c>
      <c r="F113" s="2">
        <f>DATE(A113, (B113-1)*3 + 1, 1)</f>
        <v>40087</v>
      </c>
    </row>
    <row r="114" spans="1:6" x14ac:dyDescent="0.3">
      <c r="A114">
        <v>2009</v>
      </c>
      <c r="B114">
        <v>4</v>
      </c>
      <c r="C114" t="s">
        <v>14</v>
      </c>
      <c r="D114">
        <v>112837000</v>
      </c>
      <c r="E114" t="str">
        <f xml:space="preserve"> A114 &amp; " Q" &amp; B114</f>
        <v>2009 Q4</v>
      </c>
      <c r="F114" s="2">
        <f>DATE(A114, (B114-1)*3 + 1, 1)</f>
        <v>40087</v>
      </c>
    </row>
    <row r="115" spans="1:6" x14ac:dyDescent="0.3">
      <c r="A115">
        <v>2009</v>
      </c>
      <c r="B115">
        <v>4</v>
      </c>
      <c r="C115" t="s">
        <v>15</v>
      </c>
      <c r="D115">
        <v>56587000</v>
      </c>
      <c r="E115" t="str">
        <f xml:space="preserve"> A115 &amp; " Q" &amp; B115</f>
        <v>2009 Q4</v>
      </c>
      <c r="F115" s="2">
        <f>DATE(A115, (B115-1)*3 + 1, 1)</f>
        <v>40087</v>
      </c>
    </row>
    <row r="116" spans="1:6" x14ac:dyDescent="0.3">
      <c r="A116">
        <v>2009</v>
      </c>
      <c r="B116">
        <v>4</v>
      </c>
      <c r="C116" t="s">
        <v>16</v>
      </c>
      <c r="D116">
        <v>55988000</v>
      </c>
      <c r="E116" t="str">
        <f xml:space="preserve"> A116 &amp; " Q" &amp; B116</f>
        <v>2009 Q4</v>
      </c>
      <c r="F116" s="2">
        <f>DATE(A116, (B116-1)*3 + 1, 1)</f>
        <v>40087</v>
      </c>
    </row>
    <row r="117" spans="1:6" x14ac:dyDescent="0.3">
      <c r="A117">
        <v>2009</v>
      </c>
      <c r="B117">
        <v>4</v>
      </c>
      <c r="C117" t="s">
        <v>20</v>
      </c>
      <c r="D117">
        <v>103359000</v>
      </c>
      <c r="E117" t="str">
        <f xml:space="preserve"> A117 &amp; " Q" &amp; B117</f>
        <v>2009 Q4</v>
      </c>
      <c r="F117" s="2">
        <f>DATE(A117, (B117-1)*3 + 1, 1)</f>
        <v>40087</v>
      </c>
    </row>
    <row r="118" spans="1:6" x14ac:dyDescent="0.3">
      <c r="A118">
        <v>2009</v>
      </c>
      <c r="B118">
        <v>4</v>
      </c>
      <c r="C118" t="s">
        <v>17</v>
      </c>
      <c r="D118">
        <v>96733000</v>
      </c>
      <c r="E118" t="str">
        <f xml:space="preserve"> A118 &amp; " Q" &amp; B118</f>
        <v>2009 Q4</v>
      </c>
      <c r="F118" s="2">
        <f>DATE(A118, (B118-1)*3 + 1, 1)</f>
        <v>40087</v>
      </c>
    </row>
    <row r="119" spans="1:6" x14ac:dyDescent="0.3">
      <c r="A119">
        <v>2010</v>
      </c>
      <c r="B119">
        <v>1</v>
      </c>
      <c r="C119" t="s">
        <v>4</v>
      </c>
      <c r="D119">
        <v>162936000</v>
      </c>
      <c r="E119" t="str">
        <f xml:space="preserve"> A119 &amp; " Q" &amp; B119</f>
        <v>2010 Q1</v>
      </c>
      <c r="F119" s="2">
        <f>DATE(A119, (B119-1)*3 + 1, 1)</f>
        <v>40179</v>
      </c>
    </row>
    <row r="120" spans="1:6" x14ac:dyDescent="0.3">
      <c r="A120">
        <v>2010</v>
      </c>
      <c r="B120">
        <v>1</v>
      </c>
      <c r="C120" t="s">
        <v>5</v>
      </c>
      <c r="D120">
        <v>424138000</v>
      </c>
      <c r="E120" t="str">
        <f xml:space="preserve"> A120 &amp; " Q" &amp; B120</f>
        <v>2010 Q1</v>
      </c>
      <c r="F120" s="2">
        <f>DATE(A120, (B120-1)*3 + 1, 1)</f>
        <v>40179</v>
      </c>
    </row>
    <row r="121" spans="1:6" x14ac:dyDescent="0.3">
      <c r="A121">
        <v>2010</v>
      </c>
      <c r="B121">
        <v>1</v>
      </c>
      <c r="C121" t="s">
        <v>18</v>
      </c>
      <c r="D121">
        <v>114599000</v>
      </c>
      <c r="E121" t="str">
        <f xml:space="preserve"> A121 &amp; " Q" &amp; B121</f>
        <v>2010 Q1</v>
      </c>
      <c r="F121" s="2">
        <f>DATE(A121, (B121-1)*3 + 1, 1)</f>
        <v>40179</v>
      </c>
    </row>
    <row r="122" spans="1:6" x14ac:dyDescent="0.3">
      <c r="A122">
        <v>2010</v>
      </c>
      <c r="B122">
        <v>1</v>
      </c>
      <c r="C122" t="s">
        <v>19</v>
      </c>
      <c r="D122">
        <v>26093000</v>
      </c>
      <c r="E122" t="str">
        <f xml:space="preserve"> A122 &amp; " Q" &amp; B122</f>
        <v>2010 Q1</v>
      </c>
      <c r="F122" s="2">
        <f>DATE(A122, (B122-1)*3 + 1, 1)</f>
        <v>40179</v>
      </c>
    </row>
    <row r="123" spans="1:6" x14ac:dyDescent="0.3">
      <c r="A123">
        <v>2010</v>
      </c>
      <c r="B123">
        <v>1</v>
      </c>
      <c r="C123" t="s">
        <v>7</v>
      </c>
      <c r="D123">
        <v>173248000</v>
      </c>
      <c r="E123" t="str">
        <f xml:space="preserve"> A123 &amp; " Q" &amp; B123</f>
        <v>2010 Q1</v>
      </c>
      <c r="F123" s="2">
        <f>DATE(A123, (B123-1)*3 + 1, 1)</f>
        <v>40179</v>
      </c>
    </row>
    <row r="124" spans="1:6" x14ac:dyDescent="0.3">
      <c r="A124">
        <v>2010</v>
      </c>
      <c r="B124">
        <v>1</v>
      </c>
      <c r="C124" t="s">
        <v>8</v>
      </c>
      <c r="D124">
        <v>64458000</v>
      </c>
      <c r="E124" t="str">
        <f xml:space="preserve"> A124 &amp; " Q" &amp; B124</f>
        <v>2010 Q1</v>
      </c>
      <c r="F124" s="2">
        <f>DATE(A124, (B124-1)*3 + 1, 1)</f>
        <v>40179</v>
      </c>
    </row>
    <row r="125" spans="1:6" x14ac:dyDescent="0.3">
      <c r="A125">
        <v>2010</v>
      </c>
      <c r="B125">
        <v>1</v>
      </c>
      <c r="C125" t="s">
        <v>9</v>
      </c>
      <c r="D125">
        <v>263662000</v>
      </c>
      <c r="E125" t="str">
        <f xml:space="preserve"> A125 &amp; " Q" &amp; B125</f>
        <v>2010 Q1</v>
      </c>
      <c r="F125" s="2">
        <f>DATE(A125, (B125-1)*3 + 1, 1)</f>
        <v>40179</v>
      </c>
    </row>
    <row r="126" spans="1:6" x14ac:dyDescent="0.3">
      <c r="A126">
        <v>2010</v>
      </c>
      <c r="B126">
        <v>1</v>
      </c>
      <c r="C126" t="s">
        <v>10</v>
      </c>
      <c r="D126">
        <v>7131000</v>
      </c>
      <c r="E126" t="str">
        <f xml:space="preserve"> A126 &amp; " Q" &amp; B126</f>
        <v>2010 Q1</v>
      </c>
      <c r="F126" s="2">
        <f>DATE(A126, (B126-1)*3 + 1, 1)</f>
        <v>40179</v>
      </c>
    </row>
    <row r="127" spans="1:6" x14ac:dyDescent="0.3">
      <c r="A127">
        <v>2010</v>
      </c>
      <c r="B127">
        <v>1</v>
      </c>
      <c r="C127" t="s">
        <v>11</v>
      </c>
      <c r="D127">
        <v>33238000</v>
      </c>
      <c r="E127" t="str">
        <f xml:space="preserve"> A127 &amp; " Q" &amp; B127</f>
        <v>2010 Q1</v>
      </c>
      <c r="F127" s="2">
        <f>DATE(A127, (B127-1)*3 + 1, 1)</f>
        <v>40179</v>
      </c>
    </row>
    <row r="128" spans="1:6" x14ac:dyDescent="0.3">
      <c r="A128">
        <v>2010</v>
      </c>
      <c r="B128">
        <v>1</v>
      </c>
      <c r="C128" t="s">
        <v>12</v>
      </c>
      <c r="D128">
        <v>189394000</v>
      </c>
      <c r="E128" t="str">
        <f xml:space="preserve"> A128 &amp; " Q" &amp; B128</f>
        <v>2010 Q1</v>
      </c>
      <c r="F128" s="2">
        <f>DATE(A128, (B128-1)*3 + 1, 1)</f>
        <v>40179</v>
      </c>
    </row>
    <row r="129" spans="1:6" x14ac:dyDescent="0.3">
      <c r="A129">
        <v>2010</v>
      </c>
      <c r="B129">
        <v>1</v>
      </c>
      <c r="C129" t="s">
        <v>13</v>
      </c>
      <c r="D129">
        <v>14969000</v>
      </c>
      <c r="E129" t="str">
        <f xml:space="preserve"> A129 &amp; " Q" &amp; B129</f>
        <v>2010 Q1</v>
      </c>
      <c r="F129" s="2">
        <f>DATE(A129, (B129-1)*3 + 1, 1)</f>
        <v>40179</v>
      </c>
    </row>
    <row r="130" spans="1:6" x14ac:dyDescent="0.3">
      <c r="A130">
        <v>2010</v>
      </c>
      <c r="B130">
        <v>1</v>
      </c>
      <c r="C130" t="s">
        <v>14</v>
      </c>
      <c r="D130">
        <v>113568000</v>
      </c>
      <c r="E130" t="str">
        <f xml:space="preserve"> A130 &amp; " Q" &amp; B130</f>
        <v>2010 Q1</v>
      </c>
      <c r="F130" s="2">
        <f>DATE(A130, (B130-1)*3 + 1, 1)</f>
        <v>40179</v>
      </c>
    </row>
    <row r="131" spans="1:6" x14ac:dyDescent="0.3">
      <c r="A131">
        <v>2010</v>
      </c>
      <c r="B131">
        <v>1</v>
      </c>
      <c r="C131" t="s">
        <v>15</v>
      </c>
      <c r="D131">
        <v>59703000</v>
      </c>
      <c r="E131" t="str">
        <f xml:space="preserve"> A131 &amp; " Q" &amp; B131</f>
        <v>2010 Q1</v>
      </c>
      <c r="F131" s="2">
        <f>DATE(A131, (B131-1)*3 + 1, 1)</f>
        <v>40179</v>
      </c>
    </row>
    <row r="132" spans="1:6" x14ac:dyDescent="0.3">
      <c r="A132">
        <v>2010</v>
      </c>
      <c r="B132">
        <v>1</v>
      </c>
      <c r="C132" t="s">
        <v>16</v>
      </c>
      <c r="D132">
        <v>57222000</v>
      </c>
      <c r="E132" t="str">
        <f xml:space="preserve"> A132 &amp; " Q" &amp; B132</f>
        <v>2010 Q1</v>
      </c>
      <c r="F132" s="2">
        <f>DATE(A132, (B132-1)*3 + 1, 1)</f>
        <v>40179</v>
      </c>
    </row>
    <row r="133" spans="1:6" x14ac:dyDescent="0.3">
      <c r="A133">
        <v>2010</v>
      </c>
      <c r="B133">
        <v>1</v>
      </c>
      <c r="C133" t="s">
        <v>20</v>
      </c>
      <c r="D133">
        <v>99930000</v>
      </c>
      <c r="E133" t="str">
        <f xml:space="preserve"> A133 &amp; " Q" &amp; B133</f>
        <v>2010 Q1</v>
      </c>
      <c r="F133" s="2">
        <f>DATE(A133, (B133-1)*3 + 1, 1)</f>
        <v>40179</v>
      </c>
    </row>
    <row r="134" spans="1:6" x14ac:dyDescent="0.3">
      <c r="A134">
        <v>2010</v>
      </c>
      <c r="B134">
        <v>1</v>
      </c>
      <c r="C134" t="s">
        <v>17</v>
      </c>
      <c r="D134">
        <v>100290000</v>
      </c>
      <c r="E134" t="str">
        <f xml:space="preserve"> A134 &amp; " Q" &amp; B134</f>
        <v>2010 Q1</v>
      </c>
      <c r="F134" s="2">
        <f>DATE(A134, (B134-1)*3 + 1, 1)</f>
        <v>40179</v>
      </c>
    </row>
    <row r="135" spans="1:6" x14ac:dyDescent="0.3">
      <c r="A135">
        <v>2010</v>
      </c>
      <c r="B135">
        <v>2</v>
      </c>
      <c r="C135" t="s">
        <v>4</v>
      </c>
      <c r="D135">
        <v>186061000</v>
      </c>
      <c r="E135" t="str">
        <f xml:space="preserve"> A135 &amp; " Q" &amp; B135</f>
        <v>2010 Q2</v>
      </c>
      <c r="F135" s="2">
        <f>DATE(A135, (B135-1)*3 + 1, 1)</f>
        <v>40269</v>
      </c>
    </row>
    <row r="136" spans="1:6" x14ac:dyDescent="0.3">
      <c r="A136">
        <v>2010</v>
      </c>
      <c r="B136">
        <v>2</v>
      </c>
      <c r="C136" t="s">
        <v>5</v>
      </c>
      <c r="D136">
        <v>473095000</v>
      </c>
      <c r="E136" t="str">
        <f xml:space="preserve"> A136 &amp; " Q" &amp; B136</f>
        <v>2010 Q2</v>
      </c>
      <c r="F136" s="2">
        <f>DATE(A136, (B136-1)*3 + 1, 1)</f>
        <v>40269</v>
      </c>
    </row>
    <row r="137" spans="1:6" x14ac:dyDescent="0.3">
      <c r="A137">
        <v>2010</v>
      </c>
      <c r="B137">
        <v>2</v>
      </c>
      <c r="C137" t="s">
        <v>18</v>
      </c>
      <c r="D137">
        <v>122586000</v>
      </c>
      <c r="E137" t="str">
        <f xml:space="preserve"> A137 &amp; " Q" &amp; B137</f>
        <v>2010 Q2</v>
      </c>
      <c r="F137" s="2">
        <f>DATE(A137, (B137-1)*3 + 1, 1)</f>
        <v>40269</v>
      </c>
    </row>
    <row r="138" spans="1:6" x14ac:dyDescent="0.3">
      <c r="A138">
        <v>2010</v>
      </c>
      <c r="B138">
        <v>2</v>
      </c>
      <c r="C138" t="s">
        <v>19</v>
      </c>
      <c r="D138">
        <v>31190000</v>
      </c>
      <c r="E138" t="str">
        <f xml:space="preserve"> A138 &amp; " Q" &amp; B138</f>
        <v>2010 Q2</v>
      </c>
      <c r="F138" s="2">
        <f>DATE(A138, (B138-1)*3 + 1, 1)</f>
        <v>40269</v>
      </c>
    </row>
    <row r="139" spans="1:6" x14ac:dyDescent="0.3">
      <c r="A139">
        <v>2010</v>
      </c>
      <c r="B139">
        <v>2</v>
      </c>
      <c r="C139" t="s">
        <v>7</v>
      </c>
      <c r="D139">
        <v>177831000</v>
      </c>
      <c r="E139" t="str">
        <f xml:space="preserve"> A139 &amp; " Q" &amp; B139</f>
        <v>2010 Q2</v>
      </c>
      <c r="F139" s="2">
        <f>DATE(A139, (B139-1)*3 + 1, 1)</f>
        <v>40269</v>
      </c>
    </row>
    <row r="140" spans="1:6" x14ac:dyDescent="0.3">
      <c r="A140">
        <v>2010</v>
      </c>
      <c r="B140">
        <v>2</v>
      </c>
      <c r="C140" t="s">
        <v>8</v>
      </c>
      <c r="D140">
        <v>76050000</v>
      </c>
      <c r="E140" t="str">
        <f xml:space="preserve"> A140 &amp; " Q" &amp; B140</f>
        <v>2010 Q2</v>
      </c>
      <c r="F140" s="2">
        <f>DATE(A140, (B140-1)*3 + 1, 1)</f>
        <v>40269</v>
      </c>
    </row>
    <row r="141" spans="1:6" x14ac:dyDescent="0.3">
      <c r="A141">
        <v>2010</v>
      </c>
      <c r="B141">
        <v>2</v>
      </c>
      <c r="C141" t="s">
        <v>9</v>
      </c>
      <c r="D141">
        <v>298879000</v>
      </c>
      <c r="E141" t="str">
        <f xml:space="preserve"> A141 &amp; " Q" &amp; B141</f>
        <v>2010 Q2</v>
      </c>
      <c r="F141" s="2">
        <f>DATE(A141, (B141-1)*3 + 1, 1)</f>
        <v>40269</v>
      </c>
    </row>
    <row r="142" spans="1:6" x14ac:dyDescent="0.3">
      <c r="A142">
        <v>2010</v>
      </c>
      <c r="B142">
        <v>2</v>
      </c>
      <c r="C142" t="s">
        <v>10</v>
      </c>
      <c r="D142">
        <v>8805000</v>
      </c>
      <c r="E142" t="str">
        <f xml:space="preserve"> A142 &amp; " Q" &amp; B142</f>
        <v>2010 Q2</v>
      </c>
      <c r="F142" s="2">
        <f>DATE(A142, (B142-1)*3 + 1, 1)</f>
        <v>40269</v>
      </c>
    </row>
    <row r="143" spans="1:6" x14ac:dyDescent="0.3">
      <c r="A143">
        <v>2010</v>
      </c>
      <c r="B143">
        <v>2</v>
      </c>
      <c r="C143" t="s">
        <v>11</v>
      </c>
      <c r="D143">
        <v>38899000</v>
      </c>
      <c r="E143" t="str">
        <f xml:space="preserve"> A143 &amp; " Q" &amp; B143</f>
        <v>2010 Q2</v>
      </c>
      <c r="F143" s="2">
        <f>DATE(A143, (B143-1)*3 + 1, 1)</f>
        <v>40269</v>
      </c>
    </row>
    <row r="144" spans="1:6" x14ac:dyDescent="0.3">
      <c r="A144">
        <v>2010</v>
      </c>
      <c r="B144">
        <v>2</v>
      </c>
      <c r="C144" t="s">
        <v>12</v>
      </c>
      <c r="D144">
        <v>205826000</v>
      </c>
      <c r="E144" t="str">
        <f xml:space="preserve"> A144 &amp; " Q" &amp; B144</f>
        <v>2010 Q2</v>
      </c>
      <c r="F144" s="2">
        <f>DATE(A144, (B144-1)*3 + 1, 1)</f>
        <v>40269</v>
      </c>
    </row>
    <row r="145" spans="1:6" x14ac:dyDescent="0.3">
      <c r="A145">
        <v>2010</v>
      </c>
      <c r="B145">
        <v>2</v>
      </c>
      <c r="C145" t="s">
        <v>13</v>
      </c>
      <c r="D145">
        <v>19055000</v>
      </c>
      <c r="E145" t="str">
        <f xml:space="preserve"> A145 &amp; " Q" &amp; B145</f>
        <v>2010 Q2</v>
      </c>
      <c r="F145" s="2">
        <f>DATE(A145, (B145-1)*3 + 1, 1)</f>
        <v>40269</v>
      </c>
    </row>
    <row r="146" spans="1:6" x14ac:dyDescent="0.3">
      <c r="A146">
        <v>2010</v>
      </c>
      <c r="B146">
        <v>2</v>
      </c>
      <c r="C146" t="s">
        <v>14</v>
      </c>
      <c r="D146">
        <v>128564000</v>
      </c>
      <c r="E146" t="str">
        <f xml:space="preserve"> A146 &amp; " Q" &amp; B146</f>
        <v>2010 Q2</v>
      </c>
      <c r="F146" s="2">
        <f>DATE(A146, (B146-1)*3 + 1, 1)</f>
        <v>40269</v>
      </c>
    </row>
    <row r="147" spans="1:6" x14ac:dyDescent="0.3">
      <c r="A147">
        <v>2010</v>
      </c>
      <c r="B147">
        <v>2</v>
      </c>
      <c r="C147" t="s">
        <v>15</v>
      </c>
      <c r="D147">
        <v>63419000</v>
      </c>
      <c r="E147" t="str">
        <f xml:space="preserve"> A147 &amp; " Q" &amp; B147</f>
        <v>2010 Q2</v>
      </c>
      <c r="F147" s="2">
        <f>DATE(A147, (B147-1)*3 + 1, 1)</f>
        <v>40269</v>
      </c>
    </row>
    <row r="148" spans="1:6" x14ac:dyDescent="0.3">
      <c r="A148">
        <v>2010</v>
      </c>
      <c r="B148">
        <v>2</v>
      </c>
      <c r="C148" t="s">
        <v>16</v>
      </c>
      <c r="D148">
        <v>62284000</v>
      </c>
      <c r="E148" t="str">
        <f xml:space="preserve"> A148 &amp; " Q" &amp; B148</f>
        <v>2010 Q2</v>
      </c>
      <c r="F148" s="2">
        <f>DATE(A148, (B148-1)*3 + 1, 1)</f>
        <v>40269</v>
      </c>
    </row>
    <row r="149" spans="1:6" x14ac:dyDescent="0.3">
      <c r="A149">
        <v>2010</v>
      </c>
      <c r="B149">
        <v>2</v>
      </c>
      <c r="C149" t="s">
        <v>20</v>
      </c>
      <c r="D149">
        <v>109550000</v>
      </c>
      <c r="E149" t="str">
        <f xml:space="preserve"> A149 &amp; " Q" &amp; B149</f>
        <v>2010 Q2</v>
      </c>
      <c r="F149" s="2">
        <f>DATE(A149, (B149-1)*3 + 1, 1)</f>
        <v>40269</v>
      </c>
    </row>
    <row r="150" spans="1:6" x14ac:dyDescent="0.3">
      <c r="A150">
        <v>2010</v>
      </c>
      <c r="B150">
        <v>2</v>
      </c>
      <c r="C150" t="s">
        <v>17</v>
      </c>
      <c r="D150">
        <v>109448000</v>
      </c>
      <c r="E150" t="str">
        <f xml:space="preserve"> A150 &amp; " Q" &amp; B150</f>
        <v>2010 Q2</v>
      </c>
      <c r="F150" s="2">
        <f>DATE(A150, (B150-1)*3 + 1, 1)</f>
        <v>40269</v>
      </c>
    </row>
    <row r="151" spans="1:6" x14ac:dyDescent="0.3">
      <c r="A151">
        <v>2010</v>
      </c>
      <c r="B151">
        <v>3</v>
      </c>
      <c r="C151" t="s">
        <v>4</v>
      </c>
      <c r="D151">
        <v>209599000</v>
      </c>
      <c r="E151" t="str">
        <f xml:space="preserve"> A151 &amp; " Q" &amp; B151</f>
        <v>2010 Q3</v>
      </c>
      <c r="F151" s="2">
        <f>DATE(A151, (B151-1)*3 + 1, 1)</f>
        <v>40360</v>
      </c>
    </row>
    <row r="152" spans="1:6" x14ac:dyDescent="0.3">
      <c r="A152">
        <v>2010</v>
      </c>
      <c r="B152">
        <v>3</v>
      </c>
      <c r="C152" t="s">
        <v>5</v>
      </c>
      <c r="D152">
        <v>533267000</v>
      </c>
      <c r="E152" t="str">
        <f xml:space="preserve"> A152 &amp; " Q" &amp; B152</f>
        <v>2010 Q3</v>
      </c>
      <c r="F152" s="2">
        <f>DATE(A152, (B152-1)*3 + 1, 1)</f>
        <v>40360</v>
      </c>
    </row>
    <row r="153" spans="1:6" x14ac:dyDescent="0.3">
      <c r="A153">
        <v>2010</v>
      </c>
      <c r="B153">
        <v>3</v>
      </c>
      <c r="C153" t="s">
        <v>18</v>
      </c>
      <c r="D153">
        <v>138918000</v>
      </c>
      <c r="E153" t="str">
        <f xml:space="preserve"> A153 &amp; " Q" &amp; B153</f>
        <v>2010 Q3</v>
      </c>
      <c r="F153" s="2">
        <f>DATE(A153, (B153-1)*3 + 1, 1)</f>
        <v>40360</v>
      </c>
    </row>
    <row r="154" spans="1:6" x14ac:dyDescent="0.3">
      <c r="A154">
        <v>2010</v>
      </c>
      <c r="B154">
        <v>3</v>
      </c>
      <c r="C154" t="s">
        <v>19</v>
      </c>
      <c r="D154">
        <v>31291000</v>
      </c>
      <c r="E154" t="str">
        <f xml:space="preserve"> A154 &amp; " Q" &amp; B154</f>
        <v>2010 Q3</v>
      </c>
      <c r="F154" s="2">
        <f>DATE(A154, (B154-1)*3 + 1, 1)</f>
        <v>40360</v>
      </c>
    </row>
    <row r="155" spans="1:6" x14ac:dyDescent="0.3">
      <c r="A155">
        <v>2010</v>
      </c>
      <c r="B155">
        <v>3</v>
      </c>
      <c r="C155" t="s">
        <v>7</v>
      </c>
      <c r="D155">
        <v>194231000</v>
      </c>
      <c r="E155" t="str">
        <f xml:space="preserve"> A155 &amp; " Q" &amp; B155</f>
        <v>2010 Q3</v>
      </c>
      <c r="F155" s="2">
        <f>DATE(A155, (B155-1)*3 + 1, 1)</f>
        <v>40360</v>
      </c>
    </row>
    <row r="156" spans="1:6" x14ac:dyDescent="0.3">
      <c r="A156">
        <v>2010</v>
      </c>
      <c r="B156">
        <v>3</v>
      </c>
      <c r="C156" t="s">
        <v>8</v>
      </c>
      <c r="D156">
        <v>71558000</v>
      </c>
      <c r="E156" t="str">
        <f xml:space="preserve"> A156 &amp; " Q" &amp; B156</f>
        <v>2010 Q3</v>
      </c>
      <c r="F156" s="2">
        <f>DATE(A156, (B156-1)*3 + 1, 1)</f>
        <v>40360</v>
      </c>
    </row>
    <row r="157" spans="1:6" x14ac:dyDescent="0.3">
      <c r="A157">
        <v>2010</v>
      </c>
      <c r="B157">
        <v>3</v>
      </c>
      <c r="C157" t="s">
        <v>9</v>
      </c>
      <c r="D157">
        <v>325653000</v>
      </c>
      <c r="E157" t="str">
        <f xml:space="preserve"> A157 &amp; " Q" &amp; B157</f>
        <v>2010 Q3</v>
      </c>
      <c r="F157" s="2">
        <f>DATE(A157, (B157-1)*3 + 1, 1)</f>
        <v>40360</v>
      </c>
    </row>
    <row r="158" spans="1:6" x14ac:dyDescent="0.3">
      <c r="A158">
        <v>2010</v>
      </c>
      <c r="B158">
        <v>3</v>
      </c>
      <c r="C158" t="s">
        <v>10</v>
      </c>
      <c r="D158">
        <v>9879000</v>
      </c>
      <c r="E158" t="str">
        <f xml:space="preserve"> A158 &amp; " Q" &amp; B158</f>
        <v>2010 Q3</v>
      </c>
      <c r="F158" s="2">
        <f>DATE(A158, (B158-1)*3 + 1, 1)</f>
        <v>40360</v>
      </c>
    </row>
    <row r="159" spans="1:6" x14ac:dyDescent="0.3">
      <c r="A159">
        <v>2010</v>
      </c>
      <c r="B159">
        <v>3</v>
      </c>
      <c r="C159" t="s">
        <v>11</v>
      </c>
      <c r="D159">
        <v>37634000</v>
      </c>
      <c r="E159" t="str">
        <f xml:space="preserve"> A159 &amp; " Q" &amp; B159</f>
        <v>2010 Q3</v>
      </c>
      <c r="F159" s="2">
        <f>DATE(A159, (B159-1)*3 + 1, 1)</f>
        <v>40360</v>
      </c>
    </row>
    <row r="160" spans="1:6" x14ac:dyDescent="0.3">
      <c r="A160">
        <v>2010</v>
      </c>
      <c r="B160">
        <v>3</v>
      </c>
      <c r="C160" t="s">
        <v>12</v>
      </c>
      <c r="D160">
        <v>228001000</v>
      </c>
      <c r="E160" t="str">
        <f xml:space="preserve"> A160 &amp; " Q" &amp; B160</f>
        <v>2010 Q3</v>
      </c>
      <c r="F160" s="2">
        <f>DATE(A160, (B160-1)*3 + 1, 1)</f>
        <v>40360</v>
      </c>
    </row>
    <row r="161" spans="1:6" x14ac:dyDescent="0.3">
      <c r="A161">
        <v>2010</v>
      </c>
      <c r="B161">
        <v>3</v>
      </c>
      <c r="C161" t="s">
        <v>13</v>
      </c>
      <c r="D161">
        <v>19444000</v>
      </c>
      <c r="E161" t="str">
        <f xml:space="preserve"> A161 &amp; " Q" &amp; B161</f>
        <v>2010 Q3</v>
      </c>
      <c r="F161" s="2">
        <f>DATE(A161, (B161-1)*3 + 1, 1)</f>
        <v>40360</v>
      </c>
    </row>
    <row r="162" spans="1:6" x14ac:dyDescent="0.3">
      <c r="A162">
        <v>2010</v>
      </c>
      <c r="B162">
        <v>3</v>
      </c>
      <c r="C162" t="s">
        <v>14</v>
      </c>
      <c r="D162">
        <v>138622000</v>
      </c>
      <c r="E162" t="str">
        <f xml:space="preserve"> A162 &amp; " Q" &amp; B162</f>
        <v>2010 Q3</v>
      </c>
      <c r="F162" s="2">
        <f>DATE(A162, (B162-1)*3 + 1, 1)</f>
        <v>40360</v>
      </c>
    </row>
    <row r="163" spans="1:6" x14ac:dyDescent="0.3">
      <c r="A163">
        <v>2010</v>
      </c>
      <c r="B163">
        <v>3</v>
      </c>
      <c r="C163" t="s">
        <v>15</v>
      </c>
      <c r="D163">
        <v>69293000</v>
      </c>
      <c r="E163" t="str">
        <f xml:space="preserve"> A163 &amp; " Q" &amp; B163</f>
        <v>2010 Q3</v>
      </c>
      <c r="F163" s="2">
        <f>DATE(A163, (B163-1)*3 + 1, 1)</f>
        <v>40360</v>
      </c>
    </row>
    <row r="164" spans="1:6" x14ac:dyDescent="0.3">
      <c r="A164">
        <v>2010</v>
      </c>
      <c r="B164">
        <v>3</v>
      </c>
      <c r="C164" t="s">
        <v>16</v>
      </c>
      <c r="D164">
        <v>66162000</v>
      </c>
      <c r="E164" t="str">
        <f xml:space="preserve"> A164 &amp; " Q" &amp; B164</f>
        <v>2010 Q3</v>
      </c>
      <c r="F164" s="2">
        <f>DATE(A164, (B164-1)*3 + 1, 1)</f>
        <v>40360</v>
      </c>
    </row>
    <row r="165" spans="1:6" x14ac:dyDescent="0.3">
      <c r="A165">
        <v>2010</v>
      </c>
      <c r="B165">
        <v>3</v>
      </c>
      <c r="C165" t="s">
        <v>20</v>
      </c>
      <c r="D165">
        <v>113584000</v>
      </c>
      <c r="E165" t="str">
        <f xml:space="preserve"> A165 &amp; " Q" &amp; B165</f>
        <v>2010 Q3</v>
      </c>
      <c r="F165" s="2">
        <f>DATE(A165, (B165-1)*3 + 1, 1)</f>
        <v>40360</v>
      </c>
    </row>
    <row r="166" spans="1:6" x14ac:dyDescent="0.3">
      <c r="A166">
        <v>2010</v>
      </c>
      <c r="B166">
        <v>3</v>
      </c>
      <c r="C166" t="s">
        <v>17</v>
      </c>
      <c r="D166">
        <v>124095000</v>
      </c>
      <c r="E166" t="str">
        <f xml:space="preserve"> A166 &amp; " Q" &amp; B166</f>
        <v>2010 Q3</v>
      </c>
      <c r="F166" s="2">
        <f>DATE(A166, (B166-1)*3 + 1, 1)</f>
        <v>40360</v>
      </c>
    </row>
    <row r="167" spans="1:6" x14ac:dyDescent="0.3">
      <c r="A167">
        <v>2010</v>
      </c>
      <c r="B167">
        <v>4</v>
      </c>
      <c r="C167" t="s">
        <v>4</v>
      </c>
      <c r="D167">
        <v>204953000</v>
      </c>
      <c r="E167" t="str">
        <f xml:space="preserve"> A167 &amp; " Q" &amp; B167</f>
        <v>2010 Q4</v>
      </c>
      <c r="F167" s="2">
        <f>DATE(A167, (B167-1)*3 + 1, 1)</f>
        <v>40452</v>
      </c>
    </row>
    <row r="168" spans="1:6" x14ac:dyDescent="0.3">
      <c r="A168">
        <v>2010</v>
      </c>
      <c r="B168">
        <v>4</v>
      </c>
      <c r="C168" t="s">
        <v>5</v>
      </c>
      <c r="D168">
        <v>507461000</v>
      </c>
      <c r="E168" t="str">
        <f xml:space="preserve"> A168 &amp; " Q" &amp; B168</f>
        <v>2010 Q4</v>
      </c>
      <c r="F168" s="2">
        <f>DATE(A168, (B168-1)*3 + 1, 1)</f>
        <v>40452</v>
      </c>
    </row>
    <row r="169" spans="1:6" x14ac:dyDescent="0.3">
      <c r="A169">
        <v>2010</v>
      </c>
      <c r="B169">
        <v>4</v>
      </c>
      <c r="C169" t="s">
        <v>18</v>
      </c>
      <c r="D169">
        <v>139359000</v>
      </c>
      <c r="E169" t="str">
        <f xml:space="preserve"> A169 &amp; " Q" &amp; B169</f>
        <v>2010 Q4</v>
      </c>
      <c r="F169" s="2">
        <f>DATE(A169, (B169-1)*3 + 1, 1)</f>
        <v>40452</v>
      </c>
    </row>
    <row r="170" spans="1:6" x14ac:dyDescent="0.3">
      <c r="A170">
        <v>2010</v>
      </c>
      <c r="B170">
        <v>4</v>
      </c>
      <c r="C170" t="s">
        <v>19</v>
      </c>
      <c r="D170">
        <v>31475000</v>
      </c>
      <c r="E170" t="str">
        <f xml:space="preserve"> A170 &amp; " Q" &amp; B170</f>
        <v>2010 Q4</v>
      </c>
      <c r="F170" s="2">
        <f>DATE(A170, (B170-1)*3 + 1, 1)</f>
        <v>40452</v>
      </c>
    </row>
    <row r="171" spans="1:6" x14ac:dyDescent="0.3">
      <c r="A171">
        <v>2010</v>
      </c>
      <c r="B171">
        <v>4</v>
      </c>
      <c r="C171" t="s">
        <v>7</v>
      </c>
      <c r="D171">
        <v>185413000</v>
      </c>
      <c r="E171" t="str">
        <f xml:space="preserve"> A171 &amp; " Q" &amp; B171</f>
        <v>2010 Q4</v>
      </c>
      <c r="F171" s="2">
        <f>DATE(A171, (B171-1)*3 + 1, 1)</f>
        <v>40452</v>
      </c>
    </row>
    <row r="172" spans="1:6" x14ac:dyDescent="0.3">
      <c r="A172">
        <v>2010</v>
      </c>
      <c r="B172">
        <v>4</v>
      </c>
      <c r="C172" t="s">
        <v>8</v>
      </c>
      <c r="D172">
        <v>74958000</v>
      </c>
      <c r="E172" t="str">
        <f xml:space="preserve"> A172 &amp; " Q" &amp; B172</f>
        <v>2010 Q4</v>
      </c>
      <c r="F172" s="2">
        <f>DATE(A172, (B172-1)*3 + 1, 1)</f>
        <v>40452</v>
      </c>
    </row>
    <row r="173" spans="1:6" x14ac:dyDescent="0.3">
      <c r="A173">
        <v>2010</v>
      </c>
      <c r="B173">
        <v>4</v>
      </c>
      <c r="C173" t="s">
        <v>9</v>
      </c>
      <c r="D173">
        <v>302807000</v>
      </c>
      <c r="E173" t="str">
        <f xml:space="preserve"> A173 &amp; " Q" &amp; B173</f>
        <v>2010 Q4</v>
      </c>
      <c r="F173" s="2">
        <f>DATE(A173, (B173-1)*3 + 1, 1)</f>
        <v>40452</v>
      </c>
    </row>
    <row r="174" spans="1:6" x14ac:dyDescent="0.3">
      <c r="A174">
        <v>2010</v>
      </c>
      <c r="B174">
        <v>4</v>
      </c>
      <c r="C174" t="s">
        <v>10</v>
      </c>
      <c r="D174">
        <v>8884000</v>
      </c>
      <c r="E174" t="str">
        <f xml:space="preserve"> A174 &amp; " Q" &amp; B174</f>
        <v>2010 Q4</v>
      </c>
      <c r="F174" s="2">
        <f>DATE(A174, (B174-1)*3 + 1, 1)</f>
        <v>40452</v>
      </c>
    </row>
    <row r="175" spans="1:6" x14ac:dyDescent="0.3">
      <c r="A175">
        <v>2010</v>
      </c>
      <c r="B175">
        <v>4</v>
      </c>
      <c r="C175" t="s">
        <v>11</v>
      </c>
      <c r="D175">
        <v>41261000</v>
      </c>
      <c r="E175" t="str">
        <f xml:space="preserve"> A175 &amp; " Q" &amp; B175</f>
        <v>2010 Q4</v>
      </c>
      <c r="F175" s="2">
        <f>DATE(A175, (B175-1)*3 + 1, 1)</f>
        <v>40452</v>
      </c>
    </row>
    <row r="176" spans="1:6" x14ac:dyDescent="0.3">
      <c r="A176">
        <v>2010</v>
      </c>
      <c r="B176">
        <v>4</v>
      </c>
      <c r="C176" t="s">
        <v>12</v>
      </c>
      <c r="D176">
        <v>221631000</v>
      </c>
      <c r="E176" t="str">
        <f xml:space="preserve"> A176 &amp; " Q" &amp; B176</f>
        <v>2010 Q4</v>
      </c>
      <c r="F176" s="2">
        <f>DATE(A176, (B176-1)*3 + 1, 1)</f>
        <v>40452</v>
      </c>
    </row>
    <row r="177" spans="1:6" x14ac:dyDescent="0.3">
      <c r="A177">
        <v>2010</v>
      </c>
      <c r="B177">
        <v>4</v>
      </c>
      <c r="C177" t="s">
        <v>13</v>
      </c>
      <c r="D177">
        <v>18571000</v>
      </c>
      <c r="E177" t="str">
        <f xml:space="preserve"> A177 &amp; " Q" &amp; B177</f>
        <v>2010 Q4</v>
      </c>
      <c r="F177" s="2">
        <f>DATE(A177, (B177-1)*3 + 1, 1)</f>
        <v>40452</v>
      </c>
    </row>
    <row r="178" spans="1:6" x14ac:dyDescent="0.3">
      <c r="A178">
        <v>2010</v>
      </c>
      <c r="B178">
        <v>4</v>
      </c>
      <c r="C178" t="s">
        <v>14</v>
      </c>
      <c r="D178">
        <v>134169000</v>
      </c>
      <c r="E178" t="str">
        <f xml:space="preserve"> A178 &amp; " Q" &amp; B178</f>
        <v>2010 Q4</v>
      </c>
      <c r="F178" s="2">
        <f>DATE(A178, (B178-1)*3 + 1, 1)</f>
        <v>40452</v>
      </c>
    </row>
    <row r="179" spans="1:6" x14ac:dyDescent="0.3">
      <c r="A179">
        <v>2010</v>
      </c>
      <c r="B179">
        <v>4</v>
      </c>
      <c r="C179" t="s">
        <v>15</v>
      </c>
      <c r="D179">
        <v>63590000</v>
      </c>
      <c r="E179" t="str">
        <f xml:space="preserve"> A179 &amp; " Q" &amp; B179</f>
        <v>2010 Q4</v>
      </c>
      <c r="F179" s="2">
        <f>DATE(A179, (B179-1)*3 + 1, 1)</f>
        <v>40452</v>
      </c>
    </row>
    <row r="180" spans="1:6" x14ac:dyDescent="0.3">
      <c r="A180">
        <v>2010</v>
      </c>
      <c r="B180">
        <v>4</v>
      </c>
      <c r="C180" t="s">
        <v>16</v>
      </c>
      <c r="D180">
        <v>57896000</v>
      </c>
      <c r="E180" t="str">
        <f xml:space="preserve"> A180 &amp; " Q" &amp; B180</f>
        <v>2010 Q4</v>
      </c>
      <c r="F180" s="2">
        <f>DATE(A180, (B180-1)*3 + 1, 1)</f>
        <v>40452</v>
      </c>
    </row>
    <row r="181" spans="1:6" x14ac:dyDescent="0.3">
      <c r="A181">
        <v>2010</v>
      </c>
      <c r="B181">
        <v>4</v>
      </c>
      <c r="C181" t="s">
        <v>20</v>
      </c>
      <c r="D181">
        <v>113729000</v>
      </c>
      <c r="E181" t="str">
        <f xml:space="preserve"> A181 &amp; " Q" &amp; B181</f>
        <v>2010 Q4</v>
      </c>
      <c r="F181" s="2">
        <f>DATE(A181, (B181-1)*3 + 1, 1)</f>
        <v>40452</v>
      </c>
    </row>
    <row r="182" spans="1:6" x14ac:dyDescent="0.3">
      <c r="A182">
        <v>2010</v>
      </c>
      <c r="B182">
        <v>4</v>
      </c>
      <c r="C182" t="s">
        <v>17</v>
      </c>
      <c r="D182">
        <v>122579000</v>
      </c>
      <c r="E182" t="str">
        <f xml:space="preserve"> A182 &amp; " Q" &amp; B182</f>
        <v>2010 Q4</v>
      </c>
      <c r="F182" s="2">
        <f>DATE(A182, (B182-1)*3 + 1, 1)</f>
        <v>40452</v>
      </c>
    </row>
    <row r="183" spans="1:6" x14ac:dyDescent="0.3">
      <c r="A183">
        <v>2011</v>
      </c>
      <c r="B183">
        <v>1</v>
      </c>
      <c r="C183" t="s">
        <v>4</v>
      </c>
      <c r="D183">
        <v>331909000</v>
      </c>
      <c r="E183" t="str">
        <f xml:space="preserve"> A183 &amp; " Q" &amp; B183</f>
        <v>2011 Q1</v>
      </c>
      <c r="F183" s="2">
        <f>DATE(A183, (B183-1)*3 + 1, 1)</f>
        <v>40544</v>
      </c>
    </row>
    <row r="184" spans="1:6" x14ac:dyDescent="0.3">
      <c r="A184">
        <v>2011</v>
      </c>
      <c r="B184">
        <v>1</v>
      </c>
      <c r="C184" t="s">
        <v>5</v>
      </c>
      <c r="D184">
        <v>579448000</v>
      </c>
      <c r="E184" t="str">
        <f xml:space="preserve"> A184 &amp; " Q" &amp; B184</f>
        <v>2011 Q1</v>
      </c>
      <c r="F184" s="2">
        <f>DATE(A184, (B184-1)*3 + 1, 1)</f>
        <v>40544</v>
      </c>
    </row>
    <row r="185" spans="1:6" x14ac:dyDescent="0.3">
      <c r="A185">
        <v>2011</v>
      </c>
      <c r="B185">
        <v>1</v>
      </c>
      <c r="C185" t="s">
        <v>18</v>
      </c>
      <c r="D185">
        <v>160967000</v>
      </c>
      <c r="E185" t="str">
        <f xml:space="preserve"> A185 &amp; " Q" &amp; B185</f>
        <v>2011 Q1</v>
      </c>
      <c r="F185" s="2">
        <f>DATE(A185, (B185-1)*3 + 1, 1)</f>
        <v>40544</v>
      </c>
    </row>
    <row r="186" spans="1:6" x14ac:dyDescent="0.3">
      <c r="A186">
        <v>2011</v>
      </c>
      <c r="B186">
        <v>1</v>
      </c>
      <c r="C186" t="s">
        <v>19</v>
      </c>
      <c r="D186">
        <v>34361000</v>
      </c>
      <c r="E186" t="str">
        <f xml:space="preserve"> A186 &amp; " Q" &amp; B186</f>
        <v>2011 Q1</v>
      </c>
      <c r="F186" s="2">
        <f>DATE(A186, (B186-1)*3 + 1, 1)</f>
        <v>40544</v>
      </c>
    </row>
    <row r="187" spans="1:6" x14ac:dyDescent="0.3">
      <c r="A187">
        <v>2011</v>
      </c>
      <c r="B187">
        <v>1</v>
      </c>
      <c r="C187" t="s">
        <v>7</v>
      </c>
      <c r="D187">
        <v>275731000</v>
      </c>
      <c r="E187" t="str">
        <f xml:space="preserve"> A187 &amp; " Q" &amp; B187</f>
        <v>2011 Q1</v>
      </c>
      <c r="F187" s="2">
        <f>DATE(A187, (B187-1)*3 + 1, 1)</f>
        <v>40544</v>
      </c>
    </row>
    <row r="188" spans="1:6" x14ac:dyDescent="0.3">
      <c r="A188">
        <v>2011</v>
      </c>
      <c r="B188">
        <v>1</v>
      </c>
      <c r="C188" t="s">
        <v>8</v>
      </c>
      <c r="D188">
        <v>105475000</v>
      </c>
      <c r="E188" t="str">
        <f xml:space="preserve"> A188 &amp; " Q" &amp; B188</f>
        <v>2011 Q1</v>
      </c>
      <c r="F188" s="2">
        <f>DATE(A188, (B188-1)*3 + 1, 1)</f>
        <v>40544</v>
      </c>
    </row>
    <row r="189" spans="1:6" x14ac:dyDescent="0.3">
      <c r="A189">
        <v>2011</v>
      </c>
      <c r="B189">
        <v>1</v>
      </c>
      <c r="C189" t="s">
        <v>9</v>
      </c>
      <c r="D189">
        <v>391992000</v>
      </c>
      <c r="E189" t="str">
        <f xml:space="preserve"> A189 &amp; " Q" &amp; B189</f>
        <v>2011 Q1</v>
      </c>
      <c r="F189" s="2">
        <f>DATE(A189, (B189-1)*3 + 1, 1)</f>
        <v>40544</v>
      </c>
    </row>
    <row r="190" spans="1:6" x14ac:dyDescent="0.3">
      <c r="A190">
        <v>2011</v>
      </c>
      <c r="B190">
        <v>1</v>
      </c>
      <c r="C190" t="s">
        <v>10</v>
      </c>
      <c r="D190">
        <v>10808000</v>
      </c>
      <c r="E190" t="str">
        <f xml:space="preserve"> A190 &amp; " Q" &amp; B190</f>
        <v>2011 Q1</v>
      </c>
      <c r="F190" s="2">
        <f>DATE(A190, (B190-1)*3 + 1, 1)</f>
        <v>40544</v>
      </c>
    </row>
    <row r="191" spans="1:6" x14ac:dyDescent="0.3">
      <c r="A191">
        <v>2011</v>
      </c>
      <c r="B191">
        <v>1</v>
      </c>
      <c r="C191" t="s">
        <v>11</v>
      </c>
      <c r="D191">
        <v>42849000</v>
      </c>
      <c r="E191" t="str">
        <f xml:space="preserve"> A191 &amp; " Q" &amp; B191</f>
        <v>2011 Q1</v>
      </c>
      <c r="F191" s="2">
        <f>DATE(A191, (B191-1)*3 + 1, 1)</f>
        <v>40544</v>
      </c>
    </row>
    <row r="192" spans="1:6" x14ac:dyDescent="0.3">
      <c r="A192">
        <v>2011</v>
      </c>
      <c r="B192">
        <v>1</v>
      </c>
      <c r="C192" t="s">
        <v>12</v>
      </c>
      <c r="D192">
        <v>274646000</v>
      </c>
      <c r="E192" t="str">
        <f xml:space="preserve"> A192 &amp; " Q" &amp; B192</f>
        <v>2011 Q1</v>
      </c>
      <c r="F192" s="2">
        <f>DATE(A192, (B192-1)*3 + 1, 1)</f>
        <v>40544</v>
      </c>
    </row>
    <row r="193" spans="1:6" x14ac:dyDescent="0.3">
      <c r="A193">
        <v>2011</v>
      </c>
      <c r="B193">
        <v>1</v>
      </c>
      <c r="C193" t="s">
        <v>13</v>
      </c>
      <c r="D193">
        <v>26433000</v>
      </c>
      <c r="E193" t="str">
        <f xml:space="preserve"> A193 &amp; " Q" &amp; B193</f>
        <v>2011 Q1</v>
      </c>
      <c r="F193" s="2">
        <f>DATE(A193, (B193-1)*3 + 1, 1)</f>
        <v>40544</v>
      </c>
    </row>
    <row r="194" spans="1:6" x14ac:dyDescent="0.3">
      <c r="A194">
        <v>2011</v>
      </c>
      <c r="B194">
        <v>1</v>
      </c>
      <c r="C194" t="s">
        <v>14</v>
      </c>
      <c r="D194">
        <v>166547000</v>
      </c>
      <c r="E194" t="str">
        <f xml:space="preserve"> A194 &amp; " Q" &amp; B194</f>
        <v>2011 Q1</v>
      </c>
      <c r="F194" s="2">
        <f>DATE(A194, (B194-1)*3 + 1, 1)</f>
        <v>40544</v>
      </c>
    </row>
    <row r="195" spans="1:6" x14ac:dyDescent="0.3">
      <c r="A195">
        <v>2011</v>
      </c>
      <c r="B195">
        <v>1</v>
      </c>
      <c r="C195" t="s">
        <v>15</v>
      </c>
      <c r="D195">
        <v>121092000</v>
      </c>
      <c r="E195" t="str">
        <f xml:space="preserve"> A195 &amp; " Q" &amp; B195</f>
        <v>2011 Q1</v>
      </c>
      <c r="F195" s="2">
        <f>DATE(A195, (B195-1)*3 + 1, 1)</f>
        <v>40544</v>
      </c>
    </row>
    <row r="196" spans="1:6" x14ac:dyDescent="0.3">
      <c r="A196">
        <v>2011</v>
      </c>
      <c r="B196">
        <v>1</v>
      </c>
      <c r="C196" t="s">
        <v>16</v>
      </c>
      <c r="D196">
        <v>78558000</v>
      </c>
      <c r="E196" t="str">
        <f xml:space="preserve"> A196 &amp; " Q" &amp; B196</f>
        <v>2011 Q1</v>
      </c>
      <c r="F196" s="2">
        <f>DATE(A196, (B196-1)*3 + 1, 1)</f>
        <v>40544</v>
      </c>
    </row>
    <row r="197" spans="1:6" x14ac:dyDescent="0.3">
      <c r="A197">
        <v>2011</v>
      </c>
      <c r="B197">
        <v>1</v>
      </c>
      <c r="C197" t="s">
        <v>20</v>
      </c>
      <c r="D197">
        <v>165769000</v>
      </c>
      <c r="E197" t="str">
        <f xml:space="preserve"> A197 &amp; " Q" &amp; B197</f>
        <v>2011 Q1</v>
      </c>
      <c r="F197" s="2">
        <f>DATE(A197, (B197-1)*3 + 1, 1)</f>
        <v>40544</v>
      </c>
    </row>
    <row r="198" spans="1:6" x14ac:dyDescent="0.3">
      <c r="A198">
        <v>2011</v>
      </c>
      <c r="B198">
        <v>1</v>
      </c>
      <c r="C198" t="s">
        <v>17</v>
      </c>
      <c r="D198">
        <v>190563000</v>
      </c>
      <c r="E198" t="str">
        <f xml:space="preserve"> A198 &amp; " Q" &amp; B198</f>
        <v>2011 Q1</v>
      </c>
      <c r="F198" s="2">
        <f>DATE(A198, (B198-1)*3 + 1, 1)</f>
        <v>40544</v>
      </c>
    </row>
    <row r="199" spans="1:6" x14ac:dyDescent="0.3">
      <c r="A199">
        <v>2011</v>
      </c>
      <c r="B199">
        <v>2</v>
      </c>
      <c r="C199" t="s">
        <v>4</v>
      </c>
      <c r="D199">
        <v>410532000</v>
      </c>
      <c r="E199" t="str">
        <f xml:space="preserve"> A199 &amp; " Q" &amp; B199</f>
        <v>2011 Q2</v>
      </c>
      <c r="F199" s="2">
        <f>DATE(A199, (B199-1)*3 + 1, 1)</f>
        <v>40634</v>
      </c>
    </row>
    <row r="200" spans="1:6" x14ac:dyDescent="0.3">
      <c r="A200">
        <v>2011</v>
      </c>
      <c r="B200">
        <v>2</v>
      </c>
      <c r="C200" t="s">
        <v>5</v>
      </c>
      <c r="D200">
        <v>619123000</v>
      </c>
      <c r="E200" t="str">
        <f xml:space="preserve"> A200 &amp; " Q" &amp; B200</f>
        <v>2011 Q2</v>
      </c>
      <c r="F200" s="2">
        <f>DATE(A200, (B200-1)*3 + 1, 1)</f>
        <v>40634</v>
      </c>
    </row>
    <row r="201" spans="1:6" x14ac:dyDescent="0.3">
      <c r="A201">
        <v>2011</v>
      </c>
      <c r="B201">
        <v>2</v>
      </c>
      <c r="C201" t="s">
        <v>18</v>
      </c>
      <c r="D201">
        <v>163277000</v>
      </c>
      <c r="E201" t="str">
        <f xml:space="preserve"> A201 &amp; " Q" &amp; B201</f>
        <v>2011 Q2</v>
      </c>
      <c r="F201" s="2">
        <f>DATE(A201, (B201-1)*3 + 1, 1)</f>
        <v>40634</v>
      </c>
    </row>
    <row r="202" spans="1:6" x14ac:dyDescent="0.3">
      <c r="A202">
        <v>2011</v>
      </c>
      <c r="B202">
        <v>2</v>
      </c>
      <c r="C202" t="s">
        <v>19</v>
      </c>
      <c r="D202">
        <v>36984000</v>
      </c>
      <c r="E202" t="str">
        <f xml:space="preserve"> A202 &amp; " Q" &amp; B202</f>
        <v>2011 Q2</v>
      </c>
      <c r="F202" s="2">
        <f>DATE(A202, (B202-1)*3 + 1, 1)</f>
        <v>40634</v>
      </c>
    </row>
    <row r="203" spans="1:6" x14ac:dyDescent="0.3">
      <c r="A203">
        <v>2011</v>
      </c>
      <c r="B203">
        <v>2</v>
      </c>
      <c r="C203" t="s">
        <v>7</v>
      </c>
      <c r="D203">
        <v>308349000</v>
      </c>
      <c r="E203" t="str">
        <f xml:space="preserve"> A203 &amp; " Q" &amp; B203</f>
        <v>2011 Q2</v>
      </c>
      <c r="F203" s="2">
        <f>DATE(A203, (B203-1)*3 + 1, 1)</f>
        <v>40634</v>
      </c>
    </row>
    <row r="204" spans="1:6" x14ac:dyDescent="0.3">
      <c r="A204">
        <v>2011</v>
      </c>
      <c r="B204">
        <v>2</v>
      </c>
      <c r="C204" t="s">
        <v>8</v>
      </c>
      <c r="D204">
        <v>105964000</v>
      </c>
      <c r="E204" t="str">
        <f xml:space="preserve"> A204 &amp; " Q" &amp; B204</f>
        <v>2011 Q2</v>
      </c>
      <c r="F204" s="2">
        <f>DATE(A204, (B204-1)*3 + 1, 1)</f>
        <v>40634</v>
      </c>
    </row>
    <row r="205" spans="1:6" x14ac:dyDescent="0.3">
      <c r="A205">
        <v>2011</v>
      </c>
      <c r="B205">
        <v>2</v>
      </c>
      <c r="C205" t="s">
        <v>9</v>
      </c>
      <c r="D205">
        <v>427489000</v>
      </c>
      <c r="E205" t="str">
        <f xml:space="preserve"> A205 &amp; " Q" &amp; B205</f>
        <v>2011 Q2</v>
      </c>
      <c r="F205" s="2">
        <f>DATE(A205, (B205-1)*3 + 1, 1)</f>
        <v>40634</v>
      </c>
    </row>
    <row r="206" spans="1:6" x14ac:dyDescent="0.3">
      <c r="A206">
        <v>2011</v>
      </c>
      <c r="B206">
        <v>2</v>
      </c>
      <c r="C206" t="s">
        <v>10</v>
      </c>
      <c r="D206">
        <v>12926000</v>
      </c>
      <c r="E206" t="str">
        <f xml:space="preserve"> A206 &amp; " Q" &amp; B206</f>
        <v>2011 Q2</v>
      </c>
      <c r="F206" s="2">
        <f>DATE(A206, (B206-1)*3 + 1, 1)</f>
        <v>40634</v>
      </c>
    </row>
    <row r="207" spans="1:6" x14ac:dyDescent="0.3">
      <c r="A207">
        <v>2011</v>
      </c>
      <c r="B207">
        <v>2</v>
      </c>
      <c r="C207" t="s">
        <v>11</v>
      </c>
      <c r="D207">
        <v>43098000</v>
      </c>
      <c r="E207" t="str">
        <f xml:space="preserve"> A207 &amp; " Q" &amp; B207</f>
        <v>2011 Q2</v>
      </c>
      <c r="F207" s="2">
        <f>DATE(A207, (B207-1)*3 + 1, 1)</f>
        <v>40634</v>
      </c>
    </row>
    <row r="208" spans="1:6" x14ac:dyDescent="0.3">
      <c r="A208">
        <v>2011</v>
      </c>
      <c r="B208">
        <v>2</v>
      </c>
      <c r="C208" t="s">
        <v>12</v>
      </c>
      <c r="D208">
        <v>299753000</v>
      </c>
      <c r="E208" t="str">
        <f xml:space="preserve"> A208 &amp; " Q" &amp; B208</f>
        <v>2011 Q2</v>
      </c>
      <c r="F208" s="2">
        <f>DATE(A208, (B208-1)*3 + 1, 1)</f>
        <v>40634</v>
      </c>
    </row>
    <row r="209" spans="1:6" x14ac:dyDescent="0.3">
      <c r="A209">
        <v>2011</v>
      </c>
      <c r="B209">
        <v>2</v>
      </c>
      <c r="C209" t="s">
        <v>13</v>
      </c>
      <c r="D209">
        <v>28807000</v>
      </c>
      <c r="E209" t="str">
        <f xml:space="preserve"> A209 &amp; " Q" &amp; B209</f>
        <v>2011 Q2</v>
      </c>
      <c r="F209" s="2">
        <f>DATE(A209, (B209-1)*3 + 1, 1)</f>
        <v>40634</v>
      </c>
    </row>
    <row r="210" spans="1:6" x14ac:dyDescent="0.3">
      <c r="A210">
        <v>2011</v>
      </c>
      <c r="B210">
        <v>2</v>
      </c>
      <c r="C210" t="s">
        <v>14</v>
      </c>
      <c r="D210">
        <v>186875000</v>
      </c>
      <c r="E210" t="str">
        <f xml:space="preserve"> A210 &amp; " Q" &amp; B210</f>
        <v>2011 Q2</v>
      </c>
      <c r="F210" s="2">
        <f>DATE(A210, (B210-1)*3 + 1, 1)</f>
        <v>40634</v>
      </c>
    </row>
    <row r="211" spans="1:6" x14ac:dyDescent="0.3">
      <c r="A211">
        <v>2011</v>
      </c>
      <c r="B211">
        <v>2</v>
      </c>
      <c r="C211" t="s">
        <v>15</v>
      </c>
      <c r="D211">
        <v>114870000</v>
      </c>
      <c r="E211" t="str">
        <f xml:space="preserve"> A211 &amp; " Q" &amp; B211</f>
        <v>2011 Q2</v>
      </c>
      <c r="F211" s="2">
        <f>DATE(A211, (B211-1)*3 + 1, 1)</f>
        <v>40634</v>
      </c>
    </row>
    <row r="212" spans="1:6" x14ac:dyDescent="0.3">
      <c r="A212">
        <v>2011</v>
      </c>
      <c r="B212">
        <v>2</v>
      </c>
      <c r="C212" t="s">
        <v>16</v>
      </c>
      <c r="D212">
        <v>81983000</v>
      </c>
      <c r="E212" t="str">
        <f xml:space="preserve"> A212 &amp; " Q" &amp; B212</f>
        <v>2011 Q2</v>
      </c>
      <c r="F212" s="2">
        <f>DATE(A212, (B212-1)*3 + 1, 1)</f>
        <v>40634</v>
      </c>
    </row>
    <row r="213" spans="1:6" x14ac:dyDescent="0.3">
      <c r="A213">
        <v>2011</v>
      </c>
      <c r="B213">
        <v>2</v>
      </c>
      <c r="C213" t="s">
        <v>20</v>
      </c>
      <c r="D213">
        <v>178796000</v>
      </c>
      <c r="E213" t="str">
        <f xml:space="preserve"> A213 &amp; " Q" &amp; B213</f>
        <v>2011 Q2</v>
      </c>
      <c r="F213" s="2">
        <f>DATE(A213, (B213-1)*3 + 1, 1)</f>
        <v>40634</v>
      </c>
    </row>
    <row r="214" spans="1:6" x14ac:dyDescent="0.3">
      <c r="A214">
        <v>2011</v>
      </c>
      <c r="B214">
        <v>2</v>
      </c>
      <c r="C214" t="s">
        <v>17</v>
      </c>
      <c r="D214">
        <v>222828000</v>
      </c>
      <c r="E214" t="str">
        <f xml:space="preserve"> A214 &amp; " Q" &amp; B214</f>
        <v>2011 Q2</v>
      </c>
      <c r="F214" s="2">
        <f>DATE(A214, (B214-1)*3 + 1, 1)</f>
        <v>40634</v>
      </c>
    </row>
    <row r="215" spans="1:6" x14ac:dyDescent="0.3">
      <c r="A215">
        <v>2011</v>
      </c>
      <c r="B215">
        <v>3</v>
      </c>
      <c r="C215" t="s">
        <v>4</v>
      </c>
      <c r="D215">
        <v>404342000</v>
      </c>
      <c r="E215" t="str">
        <f xml:space="preserve"> A215 &amp; " Q" &amp; B215</f>
        <v>2011 Q3</v>
      </c>
      <c r="F215" s="2">
        <f>DATE(A215, (B215-1)*3 + 1, 1)</f>
        <v>40725</v>
      </c>
    </row>
    <row r="216" spans="1:6" x14ac:dyDescent="0.3">
      <c r="A216">
        <v>2011</v>
      </c>
      <c r="B216">
        <v>3</v>
      </c>
      <c r="C216" t="s">
        <v>5</v>
      </c>
      <c r="D216">
        <v>686306000</v>
      </c>
      <c r="E216" t="str">
        <f xml:space="preserve"> A216 &amp; " Q" &amp; B216</f>
        <v>2011 Q3</v>
      </c>
      <c r="F216" s="2">
        <f>DATE(A216, (B216-1)*3 + 1, 1)</f>
        <v>40725</v>
      </c>
    </row>
    <row r="217" spans="1:6" x14ac:dyDescent="0.3">
      <c r="A217">
        <v>2011</v>
      </c>
      <c r="B217">
        <v>3</v>
      </c>
      <c r="C217" t="s">
        <v>18</v>
      </c>
      <c r="D217">
        <v>175379000</v>
      </c>
      <c r="E217" t="str">
        <f xml:space="preserve"> A217 &amp; " Q" &amp; B217</f>
        <v>2011 Q3</v>
      </c>
      <c r="F217" s="2">
        <f>DATE(A217, (B217-1)*3 + 1, 1)</f>
        <v>40725</v>
      </c>
    </row>
    <row r="218" spans="1:6" x14ac:dyDescent="0.3">
      <c r="A218">
        <v>2011</v>
      </c>
      <c r="B218">
        <v>3</v>
      </c>
      <c r="C218" t="s">
        <v>19</v>
      </c>
      <c r="D218">
        <v>39120000</v>
      </c>
      <c r="E218" t="str">
        <f xml:space="preserve"> A218 &amp; " Q" &amp; B218</f>
        <v>2011 Q3</v>
      </c>
      <c r="F218" s="2">
        <f>DATE(A218, (B218-1)*3 + 1, 1)</f>
        <v>40725</v>
      </c>
    </row>
    <row r="219" spans="1:6" x14ac:dyDescent="0.3">
      <c r="A219">
        <v>2011</v>
      </c>
      <c r="B219">
        <v>3</v>
      </c>
      <c r="C219" t="s">
        <v>7</v>
      </c>
      <c r="D219">
        <v>320173000</v>
      </c>
      <c r="E219" t="str">
        <f xml:space="preserve"> A219 &amp; " Q" &amp; B219</f>
        <v>2011 Q3</v>
      </c>
      <c r="F219" s="2">
        <f>DATE(A219, (B219-1)*3 + 1, 1)</f>
        <v>40725</v>
      </c>
    </row>
    <row r="220" spans="1:6" x14ac:dyDescent="0.3">
      <c r="A220">
        <v>2011</v>
      </c>
      <c r="B220">
        <v>3</v>
      </c>
      <c r="C220" t="s">
        <v>8</v>
      </c>
      <c r="D220">
        <v>119088000</v>
      </c>
      <c r="E220" t="str">
        <f xml:space="preserve"> A220 &amp; " Q" &amp; B220</f>
        <v>2011 Q3</v>
      </c>
      <c r="F220" s="2">
        <f>DATE(A220, (B220-1)*3 + 1, 1)</f>
        <v>40725</v>
      </c>
    </row>
    <row r="221" spans="1:6" x14ac:dyDescent="0.3">
      <c r="A221">
        <v>2011</v>
      </c>
      <c r="B221">
        <v>3</v>
      </c>
      <c r="C221" t="s">
        <v>9</v>
      </c>
      <c r="D221">
        <v>459352000</v>
      </c>
      <c r="E221" t="str">
        <f xml:space="preserve"> A221 &amp; " Q" &amp; B221</f>
        <v>2011 Q3</v>
      </c>
      <c r="F221" s="2">
        <f>DATE(A221, (B221-1)*3 + 1, 1)</f>
        <v>40725</v>
      </c>
    </row>
    <row r="222" spans="1:6" x14ac:dyDescent="0.3">
      <c r="A222">
        <v>2011</v>
      </c>
      <c r="B222">
        <v>3</v>
      </c>
      <c r="C222" t="s">
        <v>10</v>
      </c>
      <c r="D222">
        <v>13356000</v>
      </c>
      <c r="E222" t="str">
        <f xml:space="preserve"> A222 &amp; " Q" &amp; B222</f>
        <v>2011 Q3</v>
      </c>
      <c r="F222" s="2">
        <f>DATE(A222, (B222-1)*3 + 1, 1)</f>
        <v>40725</v>
      </c>
    </row>
    <row r="223" spans="1:6" x14ac:dyDescent="0.3">
      <c r="A223">
        <v>2011</v>
      </c>
      <c r="B223">
        <v>3</v>
      </c>
      <c r="C223" t="s">
        <v>11</v>
      </c>
      <c r="D223">
        <v>51218000</v>
      </c>
      <c r="E223" t="str">
        <f xml:space="preserve"> A223 &amp; " Q" &amp; B223</f>
        <v>2011 Q3</v>
      </c>
      <c r="F223" s="2">
        <f>DATE(A223, (B223-1)*3 + 1, 1)</f>
        <v>40725</v>
      </c>
    </row>
    <row r="224" spans="1:6" x14ac:dyDescent="0.3">
      <c r="A224">
        <v>2011</v>
      </c>
      <c r="B224">
        <v>3</v>
      </c>
      <c r="C224" t="s">
        <v>12</v>
      </c>
      <c r="D224">
        <v>334221000</v>
      </c>
      <c r="E224" t="str">
        <f xml:space="preserve"> A224 &amp; " Q" &amp; B224</f>
        <v>2011 Q3</v>
      </c>
      <c r="F224" s="2">
        <f>DATE(A224, (B224-1)*3 + 1, 1)</f>
        <v>40725</v>
      </c>
    </row>
    <row r="225" spans="1:6" x14ac:dyDescent="0.3">
      <c r="A225">
        <v>2011</v>
      </c>
      <c r="B225">
        <v>3</v>
      </c>
      <c r="C225" t="s">
        <v>13</v>
      </c>
      <c r="D225">
        <v>31513000</v>
      </c>
      <c r="E225" t="str">
        <f xml:space="preserve"> A225 &amp; " Q" &amp; B225</f>
        <v>2011 Q3</v>
      </c>
      <c r="F225" s="2">
        <f>DATE(A225, (B225-1)*3 + 1, 1)</f>
        <v>40725</v>
      </c>
    </row>
    <row r="226" spans="1:6" x14ac:dyDescent="0.3">
      <c r="A226">
        <v>2011</v>
      </c>
      <c r="B226">
        <v>3</v>
      </c>
      <c r="C226" t="s">
        <v>14</v>
      </c>
      <c r="D226">
        <v>204500000</v>
      </c>
      <c r="E226" t="str">
        <f xml:space="preserve"> A226 &amp; " Q" &amp; B226</f>
        <v>2011 Q3</v>
      </c>
      <c r="F226" s="2">
        <f>DATE(A226, (B226-1)*3 + 1, 1)</f>
        <v>40725</v>
      </c>
    </row>
    <row r="227" spans="1:6" x14ac:dyDescent="0.3">
      <c r="A227">
        <v>2011</v>
      </c>
      <c r="B227">
        <v>3</v>
      </c>
      <c r="C227" t="s">
        <v>15</v>
      </c>
      <c r="D227">
        <v>122092000</v>
      </c>
      <c r="E227" t="str">
        <f xml:space="preserve"> A227 &amp; " Q" &amp; B227</f>
        <v>2011 Q3</v>
      </c>
      <c r="F227" s="2">
        <f>DATE(A227, (B227-1)*3 + 1, 1)</f>
        <v>40725</v>
      </c>
    </row>
    <row r="228" spans="1:6" x14ac:dyDescent="0.3">
      <c r="A228">
        <v>2011</v>
      </c>
      <c r="B228">
        <v>3</v>
      </c>
      <c r="C228" t="s">
        <v>16</v>
      </c>
      <c r="D228">
        <v>91161000</v>
      </c>
      <c r="E228" t="str">
        <f xml:space="preserve"> A228 &amp; " Q" &amp; B228</f>
        <v>2011 Q3</v>
      </c>
      <c r="F228" s="2">
        <f>DATE(A228, (B228-1)*3 + 1, 1)</f>
        <v>40725</v>
      </c>
    </row>
    <row r="229" spans="1:6" x14ac:dyDescent="0.3">
      <c r="A229">
        <v>2011</v>
      </c>
      <c r="B229">
        <v>3</v>
      </c>
      <c r="C229" t="s">
        <v>20</v>
      </c>
      <c r="D229">
        <v>195498000</v>
      </c>
      <c r="E229" t="str">
        <f xml:space="preserve"> A229 &amp; " Q" &amp; B229</f>
        <v>2011 Q3</v>
      </c>
      <c r="F229" s="2">
        <f>DATE(A229, (B229-1)*3 + 1, 1)</f>
        <v>40725</v>
      </c>
    </row>
    <row r="230" spans="1:6" x14ac:dyDescent="0.3">
      <c r="A230">
        <v>2011</v>
      </c>
      <c r="B230">
        <v>3</v>
      </c>
      <c r="C230" t="s">
        <v>17</v>
      </c>
      <c r="D230">
        <v>223527000</v>
      </c>
      <c r="E230" t="str">
        <f xml:space="preserve"> A230 &amp; " Q" &amp; B230</f>
        <v>2011 Q3</v>
      </c>
      <c r="F230" s="2">
        <f>DATE(A230, (B230-1)*3 + 1, 1)</f>
        <v>40725</v>
      </c>
    </row>
    <row r="231" spans="1:6" x14ac:dyDescent="0.3">
      <c r="A231">
        <v>2011</v>
      </c>
      <c r="B231">
        <v>4</v>
      </c>
      <c r="C231" t="s">
        <v>4</v>
      </c>
      <c r="D231">
        <v>230135000</v>
      </c>
      <c r="E231" t="str">
        <f xml:space="preserve"> A231 &amp; " Q" &amp; B231</f>
        <v>2011 Q4</v>
      </c>
      <c r="F231" s="2">
        <f>DATE(A231, (B231-1)*3 + 1, 1)</f>
        <v>40817</v>
      </c>
    </row>
    <row r="232" spans="1:6" x14ac:dyDescent="0.3">
      <c r="A232">
        <v>2011</v>
      </c>
      <c r="B232">
        <v>4</v>
      </c>
      <c r="C232" t="s">
        <v>5</v>
      </c>
      <c r="D232">
        <v>581209000</v>
      </c>
      <c r="E232" t="str">
        <f xml:space="preserve"> A232 &amp; " Q" &amp; B232</f>
        <v>2011 Q4</v>
      </c>
      <c r="F232" s="2">
        <f>DATE(A232, (B232-1)*3 + 1, 1)</f>
        <v>40817</v>
      </c>
    </row>
    <row r="233" spans="1:6" x14ac:dyDescent="0.3">
      <c r="A233">
        <v>2011</v>
      </c>
      <c r="B233">
        <v>4</v>
      </c>
      <c r="C233" t="s">
        <v>18</v>
      </c>
      <c r="D233">
        <v>152905000</v>
      </c>
      <c r="E233" t="str">
        <f xml:space="preserve"> A233 &amp; " Q" &amp; B233</f>
        <v>2011 Q4</v>
      </c>
      <c r="F233" s="2">
        <f>DATE(A233, (B233-1)*3 + 1, 1)</f>
        <v>40817</v>
      </c>
    </row>
    <row r="234" spans="1:6" x14ac:dyDescent="0.3">
      <c r="A234">
        <v>2011</v>
      </c>
      <c r="B234">
        <v>4</v>
      </c>
      <c r="C234" t="s">
        <v>19</v>
      </c>
      <c r="D234">
        <v>34271000</v>
      </c>
      <c r="E234" t="str">
        <f xml:space="preserve"> A234 &amp; " Q" &amp; B234</f>
        <v>2011 Q4</v>
      </c>
      <c r="F234" s="2">
        <f>DATE(A234, (B234-1)*3 + 1, 1)</f>
        <v>40817</v>
      </c>
    </row>
    <row r="235" spans="1:6" x14ac:dyDescent="0.3">
      <c r="A235">
        <v>2011</v>
      </c>
      <c r="B235">
        <v>4</v>
      </c>
      <c r="C235" t="s">
        <v>7</v>
      </c>
      <c r="D235">
        <v>185077000</v>
      </c>
      <c r="E235" t="str">
        <f xml:space="preserve"> A235 &amp; " Q" &amp; B235</f>
        <v>2011 Q4</v>
      </c>
      <c r="F235" s="2">
        <f>DATE(A235, (B235-1)*3 + 1, 1)</f>
        <v>40817</v>
      </c>
    </row>
    <row r="236" spans="1:6" x14ac:dyDescent="0.3">
      <c r="A236">
        <v>2011</v>
      </c>
      <c r="B236">
        <v>4</v>
      </c>
      <c r="C236" t="s">
        <v>8</v>
      </c>
      <c r="D236">
        <v>92434000</v>
      </c>
      <c r="E236" t="str">
        <f xml:space="preserve"> A236 &amp; " Q" &amp; B236</f>
        <v>2011 Q4</v>
      </c>
      <c r="F236" s="2">
        <f>DATE(A236, (B236-1)*3 + 1, 1)</f>
        <v>40817</v>
      </c>
    </row>
    <row r="237" spans="1:6" x14ac:dyDescent="0.3">
      <c r="A237">
        <v>2011</v>
      </c>
      <c r="B237">
        <v>4</v>
      </c>
      <c r="C237" t="s">
        <v>9</v>
      </c>
      <c r="D237">
        <v>351527000</v>
      </c>
      <c r="E237" t="str">
        <f xml:space="preserve"> A237 &amp; " Q" &amp; B237</f>
        <v>2011 Q4</v>
      </c>
      <c r="F237" s="2">
        <f>DATE(A237, (B237-1)*3 + 1, 1)</f>
        <v>40817</v>
      </c>
    </row>
    <row r="238" spans="1:6" x14ac:dyDescent="0.3">
      <c r="A238">
        <v>2011</v>
      </c>
      <c r="B238">
        <v>4</v>
      </c>
      <c r="C238" t="s">
        <v>10</v>
      </c>
      <c r="D238">
        <v>9465000</v>
      </c>
      <c r="E238" t="str">
        <f xml:space="preserve"> A238 &amp; " Q" &amp; B238</f>
        <v>2011 Q4</v>
      </c>
      <c r="F238" s="2">
        <f>DATE(A238, (B238-1)*3 + 1, 1)</f>
        <v>40817</v>
      </c>
    </row>
    <row r="239" spans="1:6" x14ac:dyDescent="0.3">
      <c r="A239">
        <v>2011</v>
      </c>
      <c r="B239">
        <v>4</v>
      </c>
      <c r="C239" t="s">
        <v>11</v>
      </c>
      <c r="D239">
        <v>43466000</v>
      </c>
      <c r="E239" t="str">
        <f xml:space="preserve"> A239 &amp; " Q" &amp; B239</f>
        <v>2011 Q4</v>
      </c>
      <c r="F239" s="2">
        <f>DATE(A239, (B239-1)*3 + 1, 1)</f>
        <v>40817</v>
      </c>
    </row>
    <row r="240" spans="1:6" x14ac:dyDescent="0.3">
      <c r="A240">
        <v>2011</v>
      </c>
      <c r="B240">
        <v>4</v>
      </c>
      <c r="C240" t="s">
        <v>12</v>
      </c>
      <c r="D240">
        <v>251095000</v>
      </c>
      <c r="E240" t="str">
        <f xml:space="preserve"> A240 &amp; " Q" &amp; B240</f>
        <v>2011 Q4</v>
      </c>
      <c r="F240" s="2">
        <f>DATE(A240, (B240-1)*3 + 1, 1)</f>
        <v>40817</v>
      </c>
    </row>
    <row r="241" spans="1:6" x14ac:dyDescent="0.3">
      <c r="A241">
        <v>2011</v>
      </c>
      <c r="B241">
        <v>4</v>
      </c>
      <c r="C241" t="s">
        <v>13</v>
      </c>
      <c r="D241">
        <v>19465000</v>
      </c>
      <c r="E241" t="str">
        <f xml:space="preserve"> A241 &amp; " Q" &amp; B241</f>
        <v>2011 Q4</v>
      </c>
      <c r="F241" s="2">
        <f>DATE(A241, (B241-1)*3 + 1, 1)</f>
        <v>40817</v>
      </c>
    </row>
    <row r="242" spans="1:6" x14ac:dyDescent="0.3">
      <c r="A242">
        <v>2011</v>
      </c>
      <c r="B242">
        <v>4</v>
      </c>
      <c r="C242" t="s">
        <v>14</v>
      </c>
      <c r="D242">
        <v>147948000</v>
      </c>
      <c r="E242" t="str">
        <f xml:space="preserve"> A242 &amp; " Q" &amp; B242</f>
        <v>2011 Q4</v>
      </c>
      <c r="F242" s="2">
        <f>DATE(A242, (B242-1)*3 + 1, 1)</f>
        <v>40817</v>
      </c>
    </row>
    <row r="243" spans="1:6" x14ac:dyDescent="0.3">
      <c r="A243">
        <v>2011</v>
      </c>
      <c r="B243">
        <v>4</v>
      </c>
      <c r="C243" t="s">
        <v>15</v>
      </c>
      <c r="D243">
        <v>70539000</v>
      </c>
      <c r="E243" t="str">
        <f xml:space="preserve"> A243 &amp; " Q" &amp; B243</f>
        <v>2011 Q4</v>
      </c>
      <c r="F243" s="2">
        <f>DATE(A243, (B243-1)*3 + 1, 1)</f>
        <v>40817</v>
      </c>
    </row>
    <row r="244" spans="1:6" x14ac:dyDescent="0.3">
      <c r="A244">
        <v>2011</v>
      </c>
      <c r="B244">
        <v>4</v>
      </c>
      <c r="C244" t="s">
        <v>16</v>
      </c>
      <c r="D244">
        <v>61482000</v>
      </c>
      <c r="E244" t="str">
        <f xml:space="preserve"> A244 &amp; " Q" &amp; B244</f>
        <v>2011 Q4</v>
      </c>
      <c r="F244" s="2">
        <f>DATE(A244, (B244-1)*3 + 1, 1)</f>
        <v>40817</v>
      </c>
    </row>
    <row r="245" spans="1:6" x14ac:dyDescent="0.3">
      <c r="A245">
        <v>2011</v>
      </c>
      <c r="B245">
        <v>4</v>
      </c>
      <c r="C245" t="s">
        <v>20</v>
      </c>
      <c r="D245">
        <v>130773000</v>
      </c>
      <c r="E245" t="str">
        <f xml:space="preserve"> A245 &amp; " Q" &amp; B245</f>
        <v>2011 Q4</v>
      </c>
      <c r="F245" s="2">
        <f>DATE(A245, (B245-1)*3 + 1, 1)</f>
        <v>40817</v>
      </c>
    </row>
    <row r="246" spans="1:6" x14ac:dyDescent="0.3">
      <c r="A246">
        <v>2011</v>
      </c>
      <c r="B246">
        <v>4</v>
      </c>
      <c r="C246" t="s">
        <v>17</v>
      </c>
      <c r="D246">
        <v>139002000</v>
      </c>
      <c r="E246" t="str">
        <f xml:space="preserve"> A246 &amp; " Q" &amp; B246</f>
        <v>2011 Q4</v>
      </c>
      <c r="F246" s="2">
        <f>DATE(A246, (B246-1)*3 + 1, 1)</f>
        <v>40817</v>
      </c>
    </row>
    <row r="247" spans="1:6" x14ac:dyDescent="0.3">
      <c r="A247">
        <v>2012</v>
      </c>
      <c r="B247">
        <v>1</v>
      </c>
      <c r="C247" t="s">
        <v>4</v>
      </c>
      <c r="D247">
        <v>286682000</v>
      </c>
      <c r="E247" t="str">
        <f xml:space="preserve"> A247 &amp; " Q" &amp; B247</f>
        <v>2012 Q1</v>
      </c>
      <c r="F247" s="2">
        <f>DATE(A247, (B247-1)*3 + 1, 1)</f>
        <v>40909</v>
      </c>
    </row>
    <row r="248" spans="1:6" x14ac:dyDescent="0.3">
      <c r="A248">
        <v>2012</v>
      </c>
      <c r="B248">
        <v>1</v>
      </c>
      <c r="C248" t="s">
        <v>5</v>
      </c>
      <c r="D248">
        <v>574485000</v>
      </c>
      <c r="E248" t="str">
        <f xml:space="preserve"> A248 &amp; " Q" &amp; B248</f>
        <v>2012 Q1</v>
      </c>
      <c r="F248" s="2">
        <f>DATE(A248, (B248-1)*3 + 1, 1)</f>
        <v>40909</v>
      </c>
    </row>
    <row r="249" spans="1:6" x14ac:dyDescent="0.3">
      <c r="A249">
        <v>2012</v>
      </c>
      <c r="B249">
        <v>1</v>
      </c>
      <c r="C249" t="s">
        <v>18</v>
      </c>
      <c r="D249">
        <v>152557000</v>
      </c>
      <c r="E249" t="str">
        <f xml:space="preserve"> A249 &amp; " Q" &amp; B249</f>
        <v>2012 Q1</v>
      </c>
      <c r="F249" s="2">
        <f>DATE(A249, (B249-1)*3 + 1, 1)</f>
        <v>40909</v>
      </c>
    </row>
    <row r="250" spans="1:6" x14ac:dyDescent="0.3">
      <c r="A250">
        <v>2012</v>
      </c>
      <c r="B250">
        <v>1</v>
      </c>
      <c r="C250" t="s">
        <v>19</v>
      </c>
      <c r="D250">
        <v>30505000</v>
      </c>
      <c r="E250" t="str">
        <f xml:space="preserve"> A250 &amp; " Q" &amp; B250</f>
        <v>2012 Q1</v>
      </c>
      <c r="F250" s="2">
        <f>DATE(A250, (B250-1)*3 + 1, 1)</f>
        <v>40909</v>
      </c>
    </row>
    <row r="251" spans="1:6" x14ac:dyDescent="0.3">
      <c r="A251">
        <v>2012</v>
      </c>
      <c r="B251">
        <v>1</v>
      </c>
      <c r="C251" t="s">
        <v>7</v>
      </c>
      <c r="D251">
        <v>191300000</v>
      </c>
      <c r="E251" t="str">
        <f xml:space="preserve"> A251 &amp; " Q" &amp; B251</f>
        <v>2012 Q1</v>
      </c>
      <c r="F251" s="2">
        <f>DATE(A251, (B251-1)*3 + 1, 1)</f>
        <v>40909</v>
      </c>
    </row>
    <row r="252" spans="1:6" x14ac:dyDescent="0.3">
      <c r="A252">
        <v>2012</v>
      </c>
      <c r="B252">
        <v>1</v>
      </c>
      <c r="C252" t="s">
        <v>8</v>
      </c>
      <c r="D252">
        <v>84305000</v>
      </c>
      <c r="E252" t="str">
        <f xml:space="preserve"> A252 &amp; " Q" &amp; B252</f>
        <v>2012 Q1</v>
      </c>
      <c r="F252" s="2">
        <f>DATE(A252, (B252-1)*3 + 1, 1)</f>
        <v>40909</v>
      </c>
    </row>
    <row r="253" spans="1:6" x14ac:dyDescent="0.3">
      <c r="A253">
        <v>2012</v>
      </c>
      <c r="B253">
        <v>1</v>
      </c>
      <c r="C253" t="s">
        <v>9</v>
      </c>
      <c r="D253">
        <v>355405000</v>
      </c>
      <c r="E253" t="str">
        <f xml:space="preserve"> A253 &amp; " Q" &amp; B253</f>
        <v>2012 Q1</v>
      </c>
      <c r="F253" s="2">
        <f>DATE(A253, (B253-1)*3 + 1, 1)</f>
        <v>40909</v>
      </c>
    </row>
    <row r="254" spans="1:6" x14ac:dyDescent="0.3">
      <c r="A254">
        <v>2012</v>
      </c>
      <c r="B254">
        <v>1</v>
      </c>
      <c r="C254" t="s">
        <v>10</v>
      </c>
      <c r="D254">
        <v>9678000</v>
      </c>
      <c r="E254" t="str">
        <f xml:space="preserve"> A254 &amp; " Q" &amp; B254</f>
        <v>2012 Q1</v>
      </c>
      <c r="F254" s="2">
        <f>DATE(A254, (B254-1)*3 + 1, 1)</f>
        <v>40909</v>
      </c>
    </row>
    <row r="255" spans="1:6" x14ac:dyDescent="0.3">
      <c r="A255">
        <v>2012</v>
      </c>
      <c r="B255">
        <v>1</v>
      </c>
      <c r="C255" t="s">
        <v>11</v>
      </c>
      <c r="D255">
        <v>37086000</v>
      </c>
      <c r="E255" t="str">
        <f xml:space="preserve"> A255 &amp; " Q" &amp; B255</f>
        <v>2012 Q1</v>
      </c>
      <c r="F255" s="2">
        <f>DATE(A255, (B255-1)*3 + 1, 1)</f>
        <v>40909</v>
      </c>
    </row>
    <row r="256" spans="1:6" x14ac:dyDescent="0.3">
      <c r="A256">
        <v>2012</v>
      </c>
      <c r="B256">
        <v>1</v>
      </c>
      <c r="C256" t="s">
        <v>12</v>
      </c>
      <c r="D256">
        <v>245028000</v>
      </c>
      <c r="E256" t="str">
        <f xml:space="preserve"> A256 &amp; " Q" &amp; B256</f>
        <v>2012 Q1</v>
      </c>
      <c r="F256" s="2">
        <f>DATE(A256, (B256-1)*3 + 1, 1)</f>
        <v>40909</v>
      </c>
    </row>
    <row r="257" spans="1:6" x14ac:dyDescent="0.3">
      <c r="A257">
        <v>2012</v>
      </c>
      <c r="B257">
        <v>1</v>
      </c>
      <c r="C257" t="s">
        <v>13</v>
      </c>
      <c r="D257">
        <v>21305000</v>
      </c>
      <c r="E257" t="str">
        <f xml:space="preserve"> A257 &amp; " Q" &amp; B257</f>
        <v>2012 Q1</v>
      </c>
      <c r="F257" s="2">
        <f>DATE(A257, (B257-1)*3 + 1, 1)</f>
        <v>40909</v>
      </c>
    </row>
    <row r="258" spans="1:6" x14ac:dyDescent="0.3">
      <c r="A258">
        <v>2012</v>
      </c>
      <c r="B258">
        <v>1</v>
      </c>
      <c r="C258" t="s">
        <v>14</v>
      </c>
      <c r="D258">
        <v>152529000</v>
      </c>
      <c r="E258" t="str">
        <f xml:space="preserve"> A258 &amp; " Q" &amp; B258</f>
        <v>2012 Q1</v>
      </c>
      <c r="F258" s="2">
        <f>DATE(A258, (B258-1)*3 + 1, 1)</f>
        <v>40909</v>
      </c>
    </row>
    <row r="259" spans="1:6" x14ac:dyDescent="0.3">
      <c r="A259">
        <v>2012</v>
      </c>
      <c r="B259">
        <v>1</v>
      </c>
      <c r="C259" t="s">
        <v>15</v>
      </c>
      <c r="D259">
        <v>71829000</v>
      </c>
      <c r="E259" t="str">
        <f xml:space="preserve"> A259 &amp; " Q" &amp; B259</f>
        <v>2012 Q1</v>
      </c>
      <c r="F259" s="2">
        <f>DATE(A259, (B259-1)*3 + 1, 1)</f>
        <v>40909</v>
      </c>
    </row>
    <row r="260" spans="1:6" x14ac:dyDescent="0.3">
      <c r="A260">
        <v>2012</v>
      </c>
      <c r="B260">
        <v>1</v>
      </c>
      <c r="C260" t="s">
        <v>16</v>
      </c>
      <c r="D260">
        <v>67995000</v>
      </c>
      <c r="E260" t="str">
        <f xml:space="preserve"> A260 &amp; " Q" &amp; B260</f>
        <v>2012 Q1</v>
      </c>
      <c r="F260" s="2">
        <f>DATE(A260, (B260-1)*3 + 1, 1)</f>
        <v>40909</v>
      </c>
    </row>
    <row r="261" spans="1:6" x14ac:dyDescent="0.3">
      <c r="A261">
        <v>2012</v>
      </c>
      <c r="B261">
        <v>1</v>
      </c>
      <c r="C261" t="s">
        <v>20</v>
      </c>
      <c r="D261">
        <v>125758000</v>
      </c>
      <c r="E261" t="str">
        <f xml:space="preserve"> A261 &amp; " Q" &amp; B261</f>
        <v>2012 Q1</v>
      </c>
      <c r="F261" s="2">
        <f>DATE(A261, (B261-1)*3 + 1, 1)</f>
        <v>40909</v>
      </c>
    </row>
    <row r="262" spans="1:6" x14ac:dyDescent="0.3">
      <c r="A262">
        <v>2012</v>
      </c>
      <c r="B262">
        <v>1</v>
      </c>
      <c r="C262" t="s">
        <v>17</v>
      </c>
      <c r="D262">
        <v>140661000</v>
      </c>
      <c r="E262" t="str">
        <f xml:space="preserve"> A262 &amp; " Q" &amp; B262</f>
        <v>2012 Q1</v>
      </c>
      <c r="F262" s="2">
        <f>DATE(A262, (B262-1)*3 + 1, 1)</f>
        <v>40909</v>
      </c>
    </row>
    <row r="263" spans="1:6" x14ac:dyDescent="0.3">
      <c r="A263">
        <v>2012</v>
      </c>
      <c r="B263">
        <v>2</v>
      </c>
      <c r="C263" t="s">
        <v>4</v>
      </c>
      <c r="D263">
        <v>310793000</v>
      </c>
      <c r="E263" t="str">
        <f xml:space="preserve"> A263 &amp; " Q" &amp; B263</f>
        <v>2012 Q2</v>
      </c>
      <c r="F263" s="2">
        <f>DATE(A263, (B263-1)*3 + 1, 1)</f>
        <v>41000</v>
      </c>
    </row>
    <row r="264" spans="1:6" x14ac:dyDescent="0.3">
      <c r="A264">
        <v>2012</v>
      </c>
      <c r="B264">
        <v>2</v>
      </c>
      <c r="C264" t="s">
        <v>5</v>
      </c>
      <c r="D264">
        <v>621944000</v>
      </c>
      <c r="E264" t="str">
        <f xml:space="preserve"> A264 &amp; " Q" &amp; B264</f>
        <v>2012 Q2</v>
      </c>
      <c r="F264" s="2">
        <f>DATE(A264, (B264-1)*3 + 1, 1)</f>
        <v>41000</v>
      </c>
    </row>
    <row r="265" spans="1:6" x14ac:dyDescent="0.3">
      <c r="A265">
        <v>2012</v>
      </c>
      <c r="B265">
        <v>2</v>
      </c>
      <c r="C265" t="s">
        <v>18</v>
      </c>
      <c r="D265">
        <v>160128000</v>
      </c>
      <c r="E265" t="str">
        <f xml:space="preserve"> A265 &amp; " Q" &amp; B265</f>
        <v>2012 Q2</v>
      </c>
      <c r="F265" s="2">
        <f>DATE(A265, (B265-1)*3 + 1, 1)</f>
        <v>41000</v>
      </c>
    </row>
    <row r="266" spans="1:6" x14ac:dyDescent="0.3">
      <c r="A266">
        <v>2012</v>
      </c>
      <c r="B266">
        <v>2</v>
      </c>
      <c r="C266" t="s">
        <v>19</v>
      </c>
      <c r="D266">
        <v>37776000</v>
      </c>
      <c r="E266" t="str">
        <f xml:space="preserve"> A266 &amp; " Q" &amp; B266</f>
        <v>2012 Q2</v>
      </c>
      <c r="F266" s="2">
        <f>DATE(A266, (B266-1)*3 + 1, 1)</f>
        <v>41000</v>
      </c>
    </row>
    <row r="267" spans="1:6" x14ac:dyDescent="0.3">
      <c r="A267">
        <v>2012</v>
      </c>
      <c r="B267">
        <v>2</v>
      </c>
      <c r="C267" t="s">
        <v>7</v>
      </c>
      <c r="D267">
        <v>210181000</v>
      </c>
      <c r="E267" t="str">
        <f xml:space="preserve"> A267 &amp; " Q" &amp; B267</f>
        <v>2012 Q2</v>
      </c>
      <c r="F267" s="2">
        <f>DATE(A267, (B267-1)*3 + 1, 1)</f>
        <v>41000</v>
      </c>
    </row>
    <row r="268" spans="1:6" x14ac:dyDescent="0.3">
      <c r="A268">
        <v>2012</v>
      </c>
      <c r="B268">
        <v>2</v>
      </c>
      <c r="C268" t="s">
        <v>8</v>
      </c>
      <c r="D268">
        <v>89074000</v>
      </c>
      <c r="E268" t="str">
        <f xml:space="preserve"> A268 &amp; " Q" &amp; B268</f>
        <v>2012 Q2</v>
      </c>
      <c r="F268" s="2">
        <f>DATE(A268, (B268-1)*3 + 1, 1)</f>
        <v>41000</v>
      </c>
    </row>
    <row r="269" spans="1:6" x14ac:dyDescent="0.3">
      <c r="A269">
        <v>2012</v>
      </c>
      <c r="B269">
        <v>2</v>
      </c>
      <c r="C269" t="s">
        <v>9</v>
      </c>
      <c r="D269">
        <v>376307000</v>
      </c>
      <c r="E269" t="str">
        <f xml:space="preserve"> A269 &amp; " Q" &amp; B269</f>
        <v>2012 Q2</v>
      </c>
      <c r="F269" s="2">
        <f>DATE(A269, (B269-1)*3 + 1, 1)</f>
        <v>41000</v>
      </c>
    </row>
    <row r="270" spans="1:6" x14ac:dyDescent="0.3">
      <c r="A270">
        <v>2012</v>
      </c>
      <c r="B270">
        <v>2</v>
      </c>
      <c r="C270" t="s">
        <v>10</v>
      </c>
      <c r="D270">
        <v>10261000</v>
      </c>
      <c r="E270" t="str">
        <f xml:space="preserve"> A270 &amp; " Q" &amp; B270</f>
        <v>2012 Q2</v>
      </c>
      <c r="F270" s="2">
        <f>DATE(A270, (B270-1)*3 + 1, 1)</f>
        <v>41000</v>
      </c>
    </row>
    <row r="271" spans="1:6" x14ac:dyDescent="0.3">
      <c r="A271">
        <v>2012</v>
      </c>
      <c r="B271">
        <v>2</v>
      </c>
      <c r="C271" t="s">
        <v>11</v>
      </c>
      <c r="D271">
        <v>40443000</v>
      </c>
      <c r="E271" t="str">
        <f xml:space="preserve"> A271 &amp; " Q" &amp; B271</f>
        <v>2012 Q2</v>
      </c>
      <c r="F271" s="2">
        <f>DATE(A271, (B271-1)*3 + 1, 1)</f>
        <v>41000</v>
      </c>
    </row>
    <row r="272" spans="1:6" x14ac:dyDescent="0.3">
      <c r="A272">
        <v>2012</v>
      </c>
      <c r="B272">
        <v>2</v>
      </c>
      <c r="C272" t="s">
        <v>12</v>
      </c>
      <c r="D272">
        <v>268956000</v>
      </c>
      <c r="E272" t="str">
        <f xml:space="preserve"> A272 &amp; " Q" &amp; B272</f>
        <v>2012 Q2</v>
      </c>
      <c r="F272" s="2">
        <f>DATE(A272, (B272-1)*3 + 1, 1)</f>
        <v>41000</v>
      </c>
    </row>
    <row r="273" spans="1:6" x14ac:dyDescent="0.3">
      <c r="A273">
        <v>2012</v>
      </c>
      <c r="B273">
        <v>2</v>
      </c>
      <c r="C273" t="s">
        <v>13</v>
      </c>
      <c r="D273">
        <v>21057000</v>
      </c>
      <c r="E273" t="str">
        <f xml:space="preserve"> A273 &amp; " Q" &amp; B273</f>
        <v>2012 Q2</v>
      </c>
      <c r="F273" s="2">
        <f>DATE(A273, (B273-1)*3 + 1, 1)</f>
        <v>41000</v>
      </c>
    </row>
    <row r="274" spans="1:6" x14ac:dyDescent="0.3">
      <c r="A274">
        <v>2012</v>
      </c>
      <c r="B274">
        <v>2</v>
      </c>
      <c r="C274" t="s">
        <v>14</v>
      </c>
      <c r="D274">
        <v>161543000</v>
      </c>
      <c r="E274" t="str">
        <f xml:space="preserve"> A274 &amp; " Q" &amp; B274</f>
        <v>2012 Q2</v>
      </c>
      <c r="F274" s="2">
        <f>DATE(A274, (B274-1)*3 + 1, 1)</f>
        <v>41000</v>
      </c>
    </row>
    <row r="275" spans="1:6" x14ac:dyDescent="0.3">
      <c r="A275">
        <v>2012</v>
      </c>
      <c r="B275">
        <v>2</v>
      </c>
      <c r="C275" t="s">
        <v>15</v>
      </c>
      <c r="D275">
        <v>71063000</v>
      </c>
      <c r="E275" t="str">
        <f xml:space="preserve"> A275 &amp; " Q" &amp; B275</f>
        <v>2012 Q2</v>
      </c>
      <c r="F275" s="2">
        <f>DATE(A275, (B275-1)*3 + 1, 1)</f>
        <v>41000</v>
      </c>
    </row>
    <row r="276" spans="1:6" x14ac:dyDescent="0.3">
      <c r="A276">
        <v>2012</v>
      </c>
      <c r="B276">
        <v>2</v>
      </c>
      <c r="C276" t="s">
        <v>16</v>
      </c>
      <c r="D276">
        <v>71054000</v>
      </c>
      <c r="E276" t="str">
        <f xml:space="preserve"> A276 &amp; " Q" &amp; B276</f>
        <v>2012 Q2</v>
      </c>
      <c r="F276" s="2">
        <f>DATE(A276, (B276-1)*3 + 1, 1)</f>
        <v>41000</v>
      </c>
    </row>
    <row r="277" spans="1:6" x14ac:dyDescent="0.3">
      <c r="A277">
        <v>2012</v>
      </c>
      <c r="B277">
        <v>2</v>
      </c>
      <c r="C277" t="s">
        <v>20</v>
      </c>
      <c r="D277">
        <v>133922000</v>
      </c>
      <c r="E277" t="str">
        <f xml:space="preserve"> A277 &amp; " Q" &amp; B277</f>
        <v>2012 Q2</v>
      </c>
      <c r="F277" s="2">
        <f>DATE(A277, (B277-1)*3 + 1, 1)</f>
        <v>41000</v>
      </c>
    </row>
    <row r="278" spans="1:6" x14ac:dyDescent="0.3">
      <c r="A278">
        <v>2012</v>
      </c>
      <c r="B278">
        <v>2</v>
      </c>
      <c r="C278" t="s">
        <v>17</v>
      </c>
      <c r="D278">
        <v>154341000</v>
      </c>
      <c r="E278" t="str">
        <f xml:space="preserve"> A278 &amp; " Q" &amp; B278</f>
        <v>2012 Q2</v>
      </c>
      <c r="F278" s="2">
        <f>DATE(A278, (B278-1)*3 + 1, 1)</f>
        <v>41000</v>
      </c>
    </row>
    <row r="279" spans="1:6" x14ac:dyDescent="0.3">
      <c r="A279">
        <v>2012</v>
      </c>
      <c r="B279">
        <v>3</v>
      </c>
      <c r="C279" t="s">
        <v>4</v>
      </c>
      <c r="D279">
        <v>293086000</v>
      </c>
      <c r="E279" t="str">
        <f xml:space="preserve"> A279 &amp; " Q" &amp; B279</f>
        <v>2012 Q3</v>
      </c>
      <c r="F279" s="2">
        <f>DATE(A279, (B279-1)*3 + 1, 1)</f>
        <v>41091</v>
      </c>
    </row>
    <row r="280" spans="1:6" x14ac:dyDescent="0.3">
      <c r="A280">
        <v>2012</v>
      </c>
      <c r="B280">
        <v>3</v>
      </c>
      <c r="C280" t="s">
        <v>5</v>
      </c>
      <c r="D280">
        <v>680081000</v>
      </c>
      <c r="E280" t="str">
        <f xml:space="preserve"> A280 &amp; " Q" &amp; B280</f>
        <v>2012 Q3</v>
      </c>
      <c r="F280" s="2">
        <f>DATE(A280, (B280-1)*3 + 1, 1)</f>
        <v>41091</v>
      </c>
    </row>
    <row r="281" spans="1:6" x14ac:dyDescent="0.3">
      <c r="A281">
        <v>2012</v>
      </c>
      <c r="B281">
        <v>3</v>
      </c>
      <c r="C281" t="s">
        <v>18</v>
      </c>
      <c r="D281">
        <v>174223000</v>
      </c>
      <c r="E281" t="str">
        <f xml:space="preserve"> A281 &amp; " Q" &amp; B281</f>
        <v>2012 Q3</v>
      </c>
      <c r="F281" s="2">
        <f>DATE(A281, (B281-1)*3 + 1, 1)</f>
        <v>41091</v>
      </c>
    </row>
    <row r="282" spans="1:6" x14ac:dyDescent="0.3">
      <c r="A282">
        <v>2012</v>
      </c>
      <c r="B282">
        <v>3</v>
      </c>
      <c r="C282" t="s">
        <v>19</v>
      </c>
      <c r="D282">
        <v>37534000</v>
      </c>
      <c r="E282" t="str">
        <f xml:space="preserve"> A282 &amp; " Q" &amp; B282</f>
        <v>2012 Q3</v>
      </c>
      <c r="F282" s="2">
        <f>DATE(A282, (B282-1)*3 + 1, 1)</f>
        <v>41091</v>
      </c>
    </row>
    <row r="283" spans="1:6" x14ac:dyDescent="0.3">
      <c r="A283">
        <v>2012</v>
      </c>
      <c r="B283">
        <v>3</v>
      </c>
      <c r="C283" t="s">
        <v>7</v>
      </c>
      <c r="D283">
        <v>222183000</v>
      </c>
      <c r="E283" t="str">
        <f xml:space="preserve"> A283 &amp; " Q" &amp; B283</f>
        <v>2012 Q3</v>
      </c>
      <c r="F283" s="2">
        <f>DATE(A283, (B283-1)*3 + 1, 1)</f>
        <v>41091</v>
      </c>
    </row>
    <row r="284" spans="1:6" x14ac:dyDescent="0.3">
      <c r="A284">
        <v>2012</v>
      </c>
      <c r="B284">
        <v>3</v>
      </c>
      <c r="C284" t="s">
        <v>8</v>
      </c>
      <c r="D284">
        <v>96191000</v>
      </c>
      <c r="E284" t="str">
        <f xml:space="preserve"> A284 &amp; " Q" &amp; B284</f>
        <v>2012 Q3</v>
      </c>
      <c r="F284" s="2">
        <f>DATE(A284, (B284-1)*3 + 1, 1)</f>
        <v>41091</v>
      </c>
    </row>
    <row r="285" spans="1:6" x14ac:dyDescent="0.3">
      <c r="A285">
        <v>2012</v>
      </c>
      <c r="B285">
        <v>3</v>
      </c>
      <c r="C285" t="s">
        <v>9</v>
      </c>
      <c r="D285">
        <v>392330000</v>
      </c>
      <c r="E285" t="str">
        <f xml:space="preserve"> A285 &amp; " Q" &amp; B285</f>
        <v>2012 Q3</v>
      </c>
      <c r="F285" s="2">
        <f>DATE(A285, (B285-1)*3 + 1, 1)</f>
        <v>41091</v>
      </c>
    </row>
    <row r="286" spans="1:6" x14ac:dyDescent="0.3">
      <c r="A286">
        <v>2012</v>
      </c>
      <c r="B286">
        <v>3</v>
      </c>
      <c r="C286" t="s">
        <v>10</v>
      </c>
      <c r="D286">
        <v>9652000</v>
      </c>
      <c r="E286" t="str">
        <f xml:space="preserve"> A286 &amp; " Q" &amp; B286</f>
        <v>2012 Q3</v>
      </c>
      <c r="F286" s="2">
        <f>DATE(A286, (B286-1)*3 + 1, 1)</f>
        <v>41091</v>
      </c>
    </row>
    <row r="287" spans="1:6" x14ac:dyDescent="0.3">
      <c r="A287">
        <v>2012</v>
      </c>
      <c r="B287">
        <v>3</v>
      </c>
      <c r="C287" t="s">
        <v>11</v>
      </c>
      <c r="D287">
        <v>44489000</v>
      </c>
      <c r="E287" t="str">
        <f xml:space="preserve"> A287 &amp; " Q" &amp; B287</f>
        <v>2012 Q3</v>
      </c>
      <c r="F287" s="2">
        <f>DATE(A287, (B287-1)*3 + 1, 1)</f>
        <v>41091</v>
      </c>
    </row>
    <row r="288" spans="1:6" x14ac:dyDescent="0.3">
      <c r="A288">
        <v>2012</v>
      </c>
      <c r="B288">
        <v>3</v>
      </c>
      <c r="C288" t="s">
        <v>12</v>
      </c>
      <c r="D288">
        <v>291732000</v>
      </c>
      <c r="E288" t="str">
        <f xml:space="preserve"> A288 &amp; " Q" &amp; B288</f>
        <v>2012 Q3</v>
      </c>
      <c r="F288" s="2">
        <f>DATE(A288, (B288-1)*3 + 1, 1)</f>
        <v>41091</v>
      </c>
    </row>
    <row r="289" spans="1:6" x14ac:dyDescent="0.3">
      <c r="A289">
        <v>2012</v>
      </c>
      <c r="B289">
        <v>3</v>
      </c>
      <c r="C289" t="s">
        <v>13</v>
      </c>
      <c r="D289">
        <v>22079000</v>
      </c>
      <c r="E289" t="str">
        <f xml:space="preserve"> A289 &amp; " Q" &amp; B289</f>
        <v>2012 Q3</v>
      </c>
      <c r="F289" s="2">
        <f>DATE(A289, (B289-1)*3 + 1, 1)</f>
        <v>41091</v>
      </c>
    </row>
    <row r="290" spans="1:6" x14ac:dyDescent="0.3">
      <c r="A290">
        <v>2012</v>
      </c>
      <c r="B290">
        <v>3</v>
      </c>
      <c r="C290" t="s">
        <v>14</v>
      </c>
      <c r="D290">
        <v>164928000</v>
      </c>
      <c r="E290" t="str">
        <f xml:space="preserve"> A290 &amp; " Q" &amp; B290</f>
        <v>2012 Q3</v>
      </c>
      <c r="F290" s="2">
        <f>DATE(A290, (B290-1)*3 + 1, 1)</f>
        <v>41091</v>
      </c>
    </row>
    <row r="291" spans="1:6" x14ac:dyDescent="0.3">
      <c r="A291">
        <v>2012</v>
      </c>
      <c r="B291">
        <v>3</v>
      </c>
      <c r="C291" t="s">
        <v>15</v>
      </c>
      <c r="D291">
        <v>76565000</v>
      </c>
      <c r="E291" t="str">
        <f xml:space="preserve"> A291 &amp; " Q" &amp; B291</f>
        <v>2012 Q3</v>
      </c>
      <c r="F291" s="2">
        <f>DATE(A291, (B291-1)*3 + 1, 1)</f>
        <v>41091</v>
      </c>
    </row>
    <row r="292" spans="1:6" x14ac:dyDescent="0.3">
      <c r="A292">
        <v>2012</v>
      </c>
      <c r="B292">
        <v>3</v>
      </c>
      <c r="C292" t="s">
        <v>16</v>
      </c>
      <c r="D292">
        <v>73483000</v>
      </c>
      <c r="E292" t="str">
        <f xml:space="preserve"> A292 &amp; " Q" &amp; B292</f>
        <v>2012 Q3</v>
      </c>
      <c r="F292" s="2">
        <f>DATE(A292, (B292-1)*3 + 1, 1)</f>
        <v>41091</v>
      </c>
    </row>
    <row r="293" spans="1:6" x14ac:dyDescent="0.3">
      <c r="A293">
        <v>2012</v>
      </c>
      <c r="B293">
        <v>3</v>
      </c>
      <c r="C293" t="s">
        <v>20</v>
      </c>
      <c r="D293">
        <v>137973000</v>
      </c>
      <c r="E293" t="str">
        <f xml:space="preserve"> A293 &amp; " Q" &amp; B293</f>
        <v>2012 Q3</v>
      </c>
      <c r="F293" s="2">
        <f>DATE(A293, (B293-1)*3 + 1, 1)</f>
        <v>41091</v>
      </c>
    </row>
    <row r="294" spans="1:6" x14ac:dyDescent="0.3">
      <c r="A294">
        <v>2012</v>
      </c>
      <c r="B294">
        <v>3</v>
      </c>
      <c r="C294" t="s">
        <v>17</v>
      </c>
      <c r="D294">
        <v>168508000</v>
      </c>
      <c r="E294" t="str">
        <f xml:space="preserve"> A294 &amp; " Q" &amp; B294</f>
        <v>2012 Q3</v>
      </c>
      <c r="F294" s="2">
        <f>DATE(A294, (B294-1)*3 + 1, 1)</f>
        <v>41091</v>
      </c>
    </row>
    <row r="295" spans="1:6" x14ac:dyDescent="0.3">
      <c r="A295">
        <v>2012</v>
      </c>
      <c r="B295">
        <v>4</v>
      </c>
      <c r="C295" t="s">
        <v>4</v>
      </c>
      <c r="D295">
        <v>273786000</v>
      </c>
      <c r="E295" t="str">
        <f xml:space="preserve"> A295 &amp; " Q" &amp; B295</f>
        <v>2012 Q4</v>
      </c>
      <c r="F295" s="2">
        <f>DATE(A295, (B295-1)*3 + 1, 1)</f>
        <v>41183</v>
      </c>
    </row>
    <row r="296" spans="1:6" x14ac:dyDescent="0.3">
      <c r="A296">
        <v>2012</v>
      </c>
      <c r="B296">
        <v>4</v>
      </c>
      <c r="C296" t="s">
        <v>5</v>
      </c>
      <c r="D296">
        <v>658145000</v>
      </c>
      <c r="E296" t="str">
        <f xml:space="preserve"> A296 &amp; " Q" &amp; B296</f>
        <v>2012 Q4</v>
      </c>
      <c r="F296" s="2">
        <f>DATE(A296, (B296-1)*3 + 1, 1)</f>
        <v>41183</v>
      </c>
    </row>
    <row r="297" spans="1:6" x14ac:dyDescent="0.3">
      <c r="A297">
        <v>2012</v>
      </c>
      <c r="B297">
        <v>4</v>
      </c>
      <c r="C297" t="s">
        <v>18</v>
      </c>
      <c r="D297">
        <v>169503000</v>
      </c>
      <c r="E297" t="str">
        <f xml:space="preserve"> A297 &amp; " Q" &amp; B297</f>
        <v>2012 Q4</v>
      </c>
      <c r="F297" s="2">
        <f>DATE(A297, (B297-1)*3 + 1, 1)</f>
        <v>41183</v>
      </c>
    </row>
    <row r="298" spans="1:6" x14ac:dyDescent="0.3">
      <c r="A298">
        <v>2012</v>
      </c>
      <c r="B298">
        <v>4</v>
      </c>
      <c r="C298" t="s">
        <v>19</v>
      </c>
      <c r="D298">
        <v>36294000</v>
      </c>
      <c r="E298" t="str">
        <f xml:space="preserve"> A298 &amp; " Q" &amp; B298</f>
        <v>2012 Q4</v>
      </c>
      <c r="F298" s="2">
        <f>DATE(A298, (B298-1)*3 + 1, 1)</f>
        <v>41183</v>
      </c>
    </row>
    <row r="299" spans="1:6" x14ac:dyDescent="0.3">
      <c r="A299">
        <v>2012</v>
      </c>
      <c r="B299">
        <v>4</v>
      </c>
      <c r="C299" t="s">
        <v>7</v>
      </c>
      <c r="D299">
        <v>193805000</v>
      </c>
      <c r="E299" t="str">
        <f xml:space="preserve"> A299 &amp; " Q" &amp; B299</f>
        <v>2012 Q4</v>
      </c>
      <c r="F299" s="2">
        <f>DATE(A299, (B299-1)*3 + 1, 1)</f>
        <v>41183</v>
      </c>
    </row>
    <row r="300" spans="1:6" x14ac:dyDescent="0.3">
      <c r="A300">
        <v>2012</v>
      </c>
      <c r="B300">
        <v>4</v>
      </c>
      <c r="C300" t="s">
        <v>8</v>
      </c>
      <c r="D300">
        <v>92536000</v>
      </c>
      <c r="E300" t="str">
        <f xml:space="preserve"> A300 &amp; " Q" &amp; B300</f>
        <v>2012 Q4</v>
      </c>
      <c r="F300" s="2">
        <f>DATE(A300, (B300-1)*3 + 1, 1)</f>
        <v>41183</v>
      </c>
    </row>
    <row r="301" spans="1:6" x14ac:dyDescent="0.3">
      <c r="A301">
        <v>2012</v>
      </c>
      <c r="B301">
        <v>4</v>
      </c>
      <c r="C301" t="s">
        <v>9</v>
      </c>
      <c r="D301">
        <v>392140000</v>
      </c>
      <c r="E301" t="str">
        <f xml:space="preserve"> A301 &amp; " Q" &amp; B301</f>
        <v>2012 Q4</v>
      </c>
      <c r="F301" s="2">
        <f>DATE(A301, (B301-1)*3 + 1, 1)</f>
        <v>41183</v>
      </c>
    </row>
    <row r="302" spans="1:6" x14ac:dyDescent="0.3">
      <c r="A302">
        <v>2012</v>
      </c>
      <c r="B302">
        <v>4</v>
      </c>
      <c r="C302" t="s">
        <v>10</v>
      </c>
      <c r="D302">
        <v>9754000</v>
      </c>
      <c r="E302" t="str">
        <f xml:space="preserve"> A302 &amp; " Q" &amp; B302</f>
        <v>2012 Q4</v>
      </c>
      <c r="F302" s="2">
        <f>DATE(A302, (B302-1)*3 + 1, 1)</f>
        <v>41183</v>
      </c>
    </row>
    <row r="303" spans="1:6" x14ac:dyDescent="0.3">
      <c r="A303">
        <v>2012</v>
      </c>
      <c r="B303">
        <v>4</v>
      </c>
      <c r="C303" t="s">
        <v>11</v>
      </c>
      <c r="D303">
        <v>46093000</v>
      </c>
      <c r="E303" t="str">
        <f xml:space="preserve"> A303 &amp; " Q" &amp; B303</f>
        <v>2012 Q4</v>
      </c>
      <c r="F303" s="2">
        <f>DATE(A303, (B303-1)*3 + 1, 1)</f>
        <v>41183</v>
      </c>
    </row>
    <row r="304" spans="1:6" x14ac:dyDescent="0.3">
      <c r="A304">
        <v>2012</v>
      </c>
      <c r="B304">
        <v>4</v>
      </c>
      <c r="C304" t="s">
        <v>12</v>
      </c>
      <c r="D304">
        <v>290936000</v>
      </c>
      <c r="E304" t="str">
        <f xml:space="preserve"> A304 &amp; " Q" &amp; B304</f>
        <v>2012 Q4</v>
      </c>
      <c r="F304" s="2">
        <f>DATE(A304, (B304-1)*3 + 1, 1)</f>
        <v>41183</v>
      </c>
    </row>
    <row r="305" spans="1:6" x14ac:dyDescent="0.3">
      <c r="A305">
        <v>2012</v>
      </c>
      <c r="B305">
        <v>4</v>
      </c>
      <c r="C305" t="s">
        <v>13</v>
      </c>
      <c r="D305">
        <v>22035000</v>
      </c>
      <c r="E305" t="str">
        <f xml:space="preserve"> A305 &amp; " Q" &amp; B305</f>
        <v>2012 Q4</v>
      </c>
      <c r="F305" s="2">
        <f>DATE(A305, (B305-1)*3 + 1, 1)</f>
        <v>41183</v>
      </c>
    </row>
    <row r="306" spans="1:6" x14ac:dyDescent="0.3">
      <c r="A306">
        <v>2012</v>
      </c>
      <c r="B306">
        <v>4</v>
      </c>
      <c r="C306" t="s">
        <v>14</v>
      </c>
      <c r="D306">
        <v>161163000</v>
      </c>
      <c r="E306" t="str">
        <f xml:space="preserve"> A306 &amp; " Q" &amp; B306</f>
        <v>2012 Q4</v>
      </c>
      <c r="F306" s="2">
        <f>DATE(A306, (B306-1)*3 + 1, 1)</f>
        <v>41183</v>
      </c>
    </row>
    <row r="307" spans="1:6" x14ac:dyDescent="0.3">
      <c r="A307">
        <v>2012</v>
      </c>
      <c r="B307">
        <v>4</v>
      </c>
      <c r="C307" t="s">
        <v>15</v>
      </c>
      <c r="D307">
        <v>72571000</v>
      </c>
      <c r="E307" t="str">
        <f xml:space="preserve"> A307 &amp; " Q" &amp; B307</f>
        <v>2012 Q4</v>
      </c>
      <c r="F307" s="2">
        <f>DATE(A307, (B307-1)*3 + 1, 1)</f>
        <v>41183</v>
      </c>
    </row>
    <row r="308" spans="1:6" x14ac:dyDescent="0.3">
      <c r="A308">
        <v>2012</v>
      </c>
      <c r="B308">
        <v>4</v>
      </c>
      <c r="C308" t="s">
        <v>16</v>
      </c>
      <c r="D308">
        <v>71642000</v>
      </c>
      <c r="E308" t="str">
        <f xml:space="preserve"> A308 &amp; " Q" &amp; B308</f>
        <v>2012 Q4</v>
      </c>
      <c r="F308" s="2">
        <f>DATE(A308, (B308-1)*3 + 1, 1)</f>
        <v>41183</v>
      </c>
    </row>
    <row r="309" spans="1:6" x14ac:dyDescent="0.3">
      <c r="A309">
        <v>2012</v>
      </c>
      <c r="B309">
        <v>4</v>
      </c>
      <c r="C309" t="s">
        <v>20</v>
      </c>
      <c r="D309">
        <v>140522000</v>
      </c>
      <c r="E309" t="str">
        <f xml:space="preserve"> A309 &amp; " Q" &amp; B309</f>
        <v>2012 Q4</v>
      </c>
      <c r="F309" s="2">
        <f>DATE(A309, (B309-1)*3 + 1, 1)</f>
        <v>41183</v>
      </c>
    </row>
    <row r="310" spans="1:6" x14ac:dyDescent="0.3">
      <c r="A310">
        <v>2012</v>
      </c>
      <c r="B310">
        <v>4</v>
      </c>
      <c r="C310" t="s">
        <v>17</v>
      </c>
      <c r="D310">
        <v>158963000</v>
      </c>
      <c r="E310" t="str">
        <f xml:space="preserve"> A310 &amp; " Q" &amp; B310</f>
        <v>2012 Q4</v>
      </c>
      <c r="F310" s="2">
        <f>DATE(A310, (B310-1)*3 + 1, 1)</f>
        <v>41183</v>
      </c>
    </row>
    <row r="311" spans="1:6" x14ac:dyDescent="0.3">
      <c r="A311">
        <v>2013</v>
      </c>
      <c r="B311">
        <v>1</v>
      </c>
      <c r="C311" t="s">
        <v>4</v>
      </c>
      <c r="D311">
        <v>273475000</v>
      </c>
      <c r="E311" t="str">
        <f xml:space="preserve"> A311 &amp; " Q" &amp; B311</f>
        <v>2013 Q1</v>
      </c>
      <c r="F311" s="2">
        <f>DATE(A311, (B311-1)*3 + 1, 1)</f>
        <v>41275</v>
      </c>
    </row>
    <row r="312" spans="1:6" x14ac:dyDescent="0.3">
      <c r="A312">
        <v>2013</v>
      </c>
      <c r="B312">
        <v>1</v>
      </c>
      <c r="C312" t="s">
        <v>5</v>
      </c>
      <c r="D312">
        <v>620722000</v>
      </c>
      <c r="E312" t="str">
        <f xml:space="preserve"> A312 &amp; " Q" &amp; B312</f>
        <v>2013 Q1</v>
      </c>
      <c r="F312" s="2">
        <f>DATE(A312, (B312-1)*3 + 1, 1)</f>
        <v>41275</v>
      </c>
    </row>
    <row r="313" spans="1:6" x14ac:dyDescent="0.3">
      <c r="A313">
        <v>2013</v>
      </c>
      <c r="B313">
        <v>1</v>
      </c>
      <c r="C313" t="s">
        <v>18</v>
      </c>
      <c r="D313">
        <v>159893000</v>
      </c>
      <c r="E313" t="str">
        <f xml:space="preserve"> A313 &amp; " Q" &amp; B313</f>
        <v>2013 Q1</v>
      </c>
      <c r="F313" s="2">
        <f>DATE(A313, (B313-1)*3 + 1, 1)</f>
        <v>41275</v>
      </c>
    </row>
    <row r="314" spans="1:6" x14ac:dyDescent="0.3">
      <c r="A314">
        <v>2013</v>
      </c>
      <c r="B314">
        <v>1</v>
      </c>
      <c r="C314" t="s">
        <v>19</v>
      </c>
      <c r="D314">
        <v>35785000</v>
      </c>
      <c r="E314" t="str">
        <f xml:space="preserve"> A314 &amp; " Q" &amp; B314</f>
        <v>2013 Q1</v>
      </c>
      <c r="F314" s="2">
        <f>DATE(A314, (B314-1)*3 + 1, 1)</f>
        <v>41275</v>
      </c>
    </row>
    <row r="315" spans="1:6" x14ac:dyDescent="0.3">
      <c r="A315">
        <v>2013</v>
      </c>
      <c r="B315">
        <v>1</v>
      </c>
      <c r="C315" t="s">
        <v>7</v>
      </c>
      <c r="D315">
        <v>178893000</v>
      </c>
      <c r="E315" t="str">
        <f xml:space="preserve"> A315 &amp; " Q" &amp; B315</f>
        <v>2013 Q1</v>
      </c>
      <c r="F315" s="2">
        <f>DATE(A315, (B315-1)*3 + 1, 1)</f>
        <v>41275</v>
      </c>
    </row>
    <row r="316" spans="1:6" x14ac:dyDescent="0.3">
      <c r="A316">
        <v>2013</v>
      </c>
      <c r="B316">
        <v>1</v>
      </c>
      <c r="C316" t="s">
        <v>8</v>
      </c>
      <c r="D316">
        <v>88192000</v>
      </c>
      <c r="E316" t="str">
        <f xml:space="preserve"> A316 &amp; " Q" &amp; B316</f>
        <v>2013 Q1</v>
      </c>
      <c r="F316" s="2">
        <f>DATE(A316, (B316-1)*3 + 1, 1)</f>
        <v>41275</v>
      </c>
    </row>
    <row r="317" spans="1:6" x14ac:dyDescent="0.3">
      <c r="A317">
        <v>2013</v>
      </c>
      <c r="B317">
        <v>1</v>
      </c>
      <c r="C317" t="s">
        <v>9</v>
      </c>
      <c r="D317">
        <v>378717000</v>
      </c>
      <c r="E317" t="str">
        <f xml:space="preserve"> A317 &amp; " Q" &amp; B317</f>
        <v>2013 Q1</v>
      </c>
      <c r="F317" s="2">
        <f>DATE(A317, (B317-1)*3 + 1, 1)</f>
        <v>41275</v>
      </c>
    </row>
    <row r="318" spans="1:6" x14ac:dyDescent="0.3">
      <c r="A318">
        <v>2013</v>
      </c>
      <c r="B318">
        <v>1</v>
      </c>
      <c r="C318" t="s">
        <v>10</v>
      </c>
      <c r="D318">
        <v>7886000</v>
      </c>
      <c r="E318" t="str">
        <f xml:space="preserve"> A318 &amp; " Q" &amp; B318</f>
        <v>2013 Q1</v>
      </c>
      <c r="F318" s="2">
        <f>DATE(A318, (B318-1)*3 + 1, 1)</f>
        <v>41275</v>
      </c>
    </row>
    <row r="319" spans="1:6" x14ac:dyDescent="0.3">
      <c r="A319">
        <v>2013</v>
      </c>
      <c r="B319">
        <v>1</v>
      </c>
      <c r="C319" t="s">
        <v>11</v>
      </c>
      <c r="D319">
        <v>45163000</v>
      </c>
      <c r="E319" t="str">
        <f xml:space="preserve"> A319 &amp; " Q" &amp; B319</f>
        <v>2013 Q1</v>
      </c>
      <c r="F319" s="2">
        <f>DATE(A319, (B319-1)*3 + 1, 1)</f>
        <v>41275</v>
      </c>
    </row>
    <row r="320" spans="1:6" x14ac:dyDescent="0.3">
      <c r="A320">
        <v>2013</v>
      </c>
      <c r="B320">
        <v>1</v>
      </c>
      <c r="C320" t="s">
        <v>12</v>
      </c>
      <c r="D320">
        <v>273998000</v>
      </c>
      <c r="E320" t="str">
        <f xml:space="preserve"> A320 &amp; " Q" &amp; B320</f>
        <v>2013 Q1</v>
      </c>
      <c r="F320" s="2">
        <f>DATE(A320, (B320-1)*3 + 1, 1)</f>
        <v>41275</v>
      </c>
    </row>
    <row r="321" spans="1:6" x14ac:dyDescent="0.3">
      <c r="A321">
        <v>2013</v>
      </c>
      <c r="B321">
        <v>1</v>
      </c>
      <c r="C321" t="s">
        <v>13</v>
      </c>
      <c r="D321">
        <v>22401000</v>
      </c>
      <c r="E321" t="str">
        <f xml:space="preserve"> A321 &amp; " Q" &amp; B321</f>
        <v>2013 Q1</v>
      </c>
      <c r="F321" s="2">
        <f>DATE(A321, (B321-1)*3 + 1, 1)</f>
        <v>41275</v>
      </c>
    </row>
    <row r="322" spans="1:6" x14ac:dyDescent="0.3">
      <c r="A322">
        <v>2013</v>
      </c>
      <c r="B322">
        <v>1</v>
      </c>
      <c r="C322" t="s">
        <v>14</v>
      </c>
      <c r="D322">
        <v>157853000</v>
      </c>
      <c r="E322" t="str">
        <f xml:space="preserve"> A322 &amp; " Q" &amp; B322</f>
        <v>2013 Q1</v>
      </c>
      <c r="F322" s="2">
        <f>DATE(A322, (B322-1)*3 + 1, 1)</f>
        <v>41275</v>
      </c>
    </row>
    <row r="323" spans="1:6" x14ac:dyDescent="0.3">
      <c r="A323">
        <v>2013</v>
      </c>
      <c r="B323">
        <v>1</v>
      </c>
      <c r="C323" t="s">
        <v>15</v>
      </c>
      <c r="D323">
        <v>74136000</v>
      </c>
      <c r="E323" t="str">
        <f xml:space="preserve"> A323 &amp; " Q" &amp; B323</f>
        <v>2013 Q1</v>
      </c>
      <c r="F323" s="2">
        <f>DATE(A323, (B323-1)*3 + 1, 1)</f>
        <v>41275</v>
      </c>
    </row>
    <row r="324" spans="1:6" x14ac:dyDescent="0.3">
      <c r="A324">
        <v>2013</v>
      </c>
      <c r="B324">
        <v>1</v>
      </c>
      <c r="C324" t="s">
        <v>16</v>
      </c>
      <c r="D324">
        <v>72362000</v>
      </c>
      <c r="E324" t="str">
        <f xml:space="preserve"> A324 &amp; " Q" &amp; B324</f>
        <v>2013 Q1</v>
      </c>
      <c r="F324" s="2">
        <f>DATE(A324, (B324-1)*3 + 1, 1)</f>
        <v>41275</v>
      </c>
    </row>
    <row r="325" spans="1:6" x14ac:dyDescent="0.3">
      <c r="A325">
        <v>2013</v>
      </c>
      <c r="B325">
        <v>1</v>
      </c>
      <c r="C325" t="s">
        <v>20</v>
      </c>
      <c r="D325">
        <v>132631000</v>
      </c>
      <c r="E325" t="str">
        <f xml:space="preserve"> A325 &amp; " Q" &amp; B325</f>
        <v>2013 Q1</v>
      </c>
      <c r="F325" s="2">
        <f>DATE(A325, (B325-1)*3 + 1, 1)</f>
        <v>41275</v>
      </c>
    </row>
    <row r="326" spans="1:6" x14ac:dyDescent="0.3">
      <c r="A326">
        <v>2013</v>
      </c>
      <c r="B326">
        <v>1</v>
      </c>
      <c r="C326" t="s">
        <v>17</v>
      </c>
      <c r="D326">
        <v>153280000</v>
      </c>
      <c r="E326" t="str">
        <f xml:space="preserve"> A326 &amp; " Q" &amp; B326</f>
        <v>2013 Q1</v>
      </c>
      <c r="F326" s="2">
        <f>DATE(A326, (B326-1)*3 + 1, 1)</f>
        <v>41275</v>
      </c>
    </row>
    <row r="327" spans="1:6" x14ac:dyDescent="0.3">
      <c r="A327">
        <v>2013</v>
      </c>
      <c r="B327">
        <v>2</v>
      </c>
      <c r="C327" t="s">
        <v>4</v>
      </c>
      <c r="D327">
        <v>309945000</v>
      </c>
      <c r="E327" t="str">
        <f xml:space="preserve"> A327 &amp; " Q" &amp; B327</f>
        <v>2013 Q2</v>
      </c>
      <c r="F327" s="2">
        <f>DATE(A327, (B327-1)*3 + 1, 1)</f>
        <v>41365</v>
      </c>
    </row>
    <row r="328" spans="1:6" x14ac:dyDescent="0.3">
      <c r="A328">
        <v>2013</v>
      </c>
      <c r="B328">
        <v>2</v>
      </c>
      <c r="C328" t="s">
        <v>5</v>
      </c>
      <c r="D328">
        <v>702107000</v>
      </c>
      <c r="E328" t="str">
        <f xml:space="preserve"> A328 &amp; " Q" &amp; B328</f>
        <v>2013 Q2</v>
      </c>
      <c r="F328" s="2">
        <f>DATE(A328, (B328-1)*3 + 1, 1)</f>
        <v>41365</v>
      </c>
    </row>
    <row r="329" spans="1:6" x14ac:dyDescent="0.3">
      <c r="A329">
        <v>2013</v>
      </c>
      <c r="B329">
        <v>2</v>
      </c>
      <c r="C329" t="s">
        <v>18</v>
      </c>
      <c r="D329">
        <v>179695000</v>
      </c>
      <c r="E329" t="str">
        <f xml:space="preserve"> A329 &amp; " Q" &amp; B329</f>
        <v>2013 Q2</v>
      </c>
      <c r="F329" s="2">
        <f>DATE(A329, (B329-1)*3 + 1, 1)</f>
        <v>41365</v>
      </c>
    </row>
    <row r="330" spans="1:6" x14ac:dyDescent="0.3">
      <c r="A330">
        <v>2013</v>
      </c>
      <c r="B330">
        <v>2</v>
      </c>
      <c r="C330" t="s">
        <v>19</v>
      </c>
      <c r="D330">
        <v>42235000</v>
      </c>
      <c r="E330" t="str">
        <f xml:space="preserve"> A330 &amp; " Q" &amp; B330</f>
        <v>2013 Q2</v>
      </c>
      <c r="F330" s="2">
        <f>DATE(A330, (B330-1)*3 + 1, 1)</f>
        <v>41365</v>
      </c>
    </row>
    <row r="331" spans="1:6" x14ac:dyDescent="0.3">
      <c r="A331">
        <v>2013</v>
      </c>
      <c r="B331">
        <v>2</v>
      </c>
      <c r="C331" t="s">
        <v>7</v>
      </c>
      <c r="D331">
        <v>202713000</v>
      </c>
      <c r="E331" t="str">
        <f xml:space="preserve"> A331 &amp; " Q" &amp; B331</f>
        <v>2013 Q2</v>
      </c>
      <c r="F331" s="2">
        <f>DATE(A331, (B331-1)*3 + 1, 1)</f>
        <v>41365</v>
      </c>
    </row>
    <row r="332" spans="1:6" x14ac:dyDescent="0.3">
      <c r="A332">
        <v>2013</v>
      </c>
      <c r="B332">
        <v>2</v>
      </c>
      <c r="C332" t="s">
        <v>8</v>
      </c>
      <c r="D332">
        <v>108345000</v>
      </c>
      <c r="E332" t="str">
        <f xml:space="preserve"> A332 &amp; " Q" &amp; B332</f>
        <v>2013 Q2</v>
      </c>
      <c r="F332" s="2">
        <f>DATE(A332, (B332-1)*3 + 1, 1)</f>
        <v>41365</v>
      </c>
    </row>
    <row r="333" spans="1:6" x14ac:dyDescent="0.3">
      <c r="A333">
        <v>2013</v>
      </c>
      <c r="B333">
        <v>2</v>
      </c>
      <c r="C333" t="s">
        <v>9</v>
      </c>
      <c r="D333">
        <v>416659000</v>
      </c>
      <c r="E333" t="str">
        <f xml:space="preserve"> A333 &amp; " Q" &amp; B333</f>
        <v>2013 Q2</v>
      </c>
      <c r="F333" s="2">
        <f>DATE(A333, (B333-1)*3 + 1, 1)</f>
        <v>41365</v>
      </c>
    </row>
    <row r="334" spans="1:6" x14ac:dyDescent="0.3">
      <c r="A334">
        <v>2013</v>
      </c>
      <c r="B334">
        <v>2</v>
      </c>
      <c r="C334" t="s">
        <v>10</v>
      </c>
      <c r="D334">
        <v>10006000</v>
      </c>
      <c r="E334" t="str">
        <f xml:space="preserve"> A334 &amp; " Q" &amp; B334</f>
        <v>2013 Q2</v>
      </c>
      <c r="F334" s="2">
        <f>DATE(A334, (B334-1)*3 + 1, 1)</f>
        <v>41365</v>
      </c>
    </row>
    <row r="335" spans="1:6" x14ac:dyDescent="0.3">
      <c r="A335">
        <v>2013</v>
      </c>
      <c r="B335">
        <v>2</v>
      </c>
      <c r="C335" t="s">
        <v>11</v>
      </c>
      <c r="D335">
        <v>53088000</v>
      </c>
      <c r="E335" t="str">
        <f xml:space="preserve"> A335 &amp; " Q" &amp; B335</f>
        <v>2013 Q2</v>
      </c>
      <c r="F335" s="2">
        <f>DATE(A335, (B335-1)*3 + 1, 1)</f>
        <v>41365</v>
      </c>
    </row>
    <row r="336" spans="1:6" x14ac:dyDescent="0.3">
      <c r="A336">
        <v>2013</v>
      </c>
      <c r="B336">
        <v>2</v>
      </c>
      <c r="C336" t="s">
        <v>12</v>
      </c>
      <c r="D336">
        <v>314658000</v>
      </c>
      <c r="E336" t="str">
        <f xml:space="preserve"> A336 &amp; " Q" &amp; B336</f>
        <v>2013 Q2</v>
      </c>
      <c r="F336" s="2">
        <f>DATE(A336, (B336-1)*3 + 1, 1)</f>
        <v>41365</v>
      </c>
    </row>
    <row r="337" spans="1:6" x14ac:dyDescent="0.3">
      <c r="A337">
        <v>2013</v>
      </c>
      <c r="B337">
        <v>2</v>
      </c>
      <c r="C337" t="s">
        <v>13</v>
      </c>
      <c r="D337">
        <v>27179000</v>
      </c>
      <c r="E337" t="str">
        <f xml:space="preserve"> A337 &amp; " Q" &amp; B337</f>
        <v>2013 Q2</v>
      </c>
      <c r="F337" s="2">
        <f>DATE(A337, (B337-1)*3 + 1, 1)</f>
        <v>41365</v>
      </c>
    </row>
    <row r="338" spans="1:6" x14ac:dyDescent="0.3">
      <c r="A338">
        <v>2013</v>
      </c>
      <c r="B338">
        <v>2</v>
      </c>
      <c r="C338" t="s">
        <v>14</v>
      </c>
      <c r="D338">
        <v>180428000</v>
      </c>
      <c r="E338" t="str">
        <f xml:space="preserve"> A338 &amp; " Q" &amp; B338</f>
        <v>2013 Q2</v>
      </c>
      <c r="F338" s="2">
        <f>DATE(A338, (B338-1)*3 + 1, 1)</f>
        <v>41365</v>
      </c>
    </row>
    <row r="339" spans="1:6" x14ac:dyDescent="0.3">
      <c r="A339">
        <v>2013</v>
      </c>
      <c r="B339">
        <v>2</v>
      </c>
      <c r="C339" t="s">
        <v>15</v>
      </c>
      <c r="D339">
        <v>81005000</v>
      </c>
      <c r="E339" t="str">
        <f xml:space="preserve"> A339 &amp; " Q" &amp; B339</f>
        <v>2013 Q2</v>
      </c>
      <c r="F339" s="2">
        <f>DATE(A339, (B339-1)*3 + 1, 1)</f>
        <v>41365</v>
      </c>
    </row>
    <row r="340" spans="1:6" x14ac:dyDescent="0.3">
      <c r="A340">
        <v>2013</v>
      </c>
      <c r="B340">
        <v>2</v>
      </c>
      <c r="C340" t="s">
        <v>16</v>
      </c>
      <c r="D340">
        <v>80198000</v>
      </c>
      <c r="E340" t="str">
        <f xml:space="preserve"> A340 &amp; " Q" &amp; B340</f>
        <v>2013 Q2</v>
      </c>
      <c r="F340" s="2">
        <f>DATE(A340, (B340-1)*3 + 1, 1)</f>
        <v>41365</v>
      </c>
    </row>
    <row r="341" spans="1:6" x14ac:dyDescent="0.3">
      <c r="A341">
        <v>2013</v>
      </c>
      <c r="B341">
        <v>2</v>
      </c>
      <c r="C341" t="s">
        <v>20</v>
      </c>
      <c r="D341">
        <v>143023000</v>
      </c>
      <c r="E341" t="str">
        <f xml:space="preserve"> A341 &amp; " Q" &amp; B341</f>
        <v>2013 Q2</v>
      </c>
      <c r="F341" s="2">
        <f>DATE(A341, (B341-1)*3 + 1, 1)</f>
        <v>41365</v>
      </c>
    </row>
    <row r="342" spans="1:6" x14ac:dyDescent="0.3">
      <c r="A342">
        <v>2013</v>
      </c>
      <c r="B342">
        <v>2</v>
      </c>
      <c r="C342" t="s">
        <v>17</v>
      </c>
      <c r="D342">
        <v>171209000</v>
      </c>
      <c r="E342" t="str">
        <f xml:space="preserve"> A342 &amp; " Q" &amp; B342</f>
        <v>2013 Q2</v>
      </c>
      <c r="F342" s="2">
        <f>DATE(A342, (B342-1)*3 + 1, 1)</f>
        <v>41365</v>
      </c>
    </row>
    <row r="343" spans="1:6" x14ac:dyDescent="0.3">
      <c r="A343">
        <v>2013</v>
      </c>
      <c r="B343">
        <v>3</v>
      </c>
      <c r="C343" t="s">
        <v>4</v>
      </c>
      <c r="D343">
        <v>316137000</v>
      </c>
      <c r="E343" t="str">
        <f xml:space="preserve"> A343 &amp; " Q" &amp; B343</f>
        <v>2013 Q3</v>
      </c>
      <c r="F343" s="2">
        <f>DATE(A343, (B343-1)*3 + 1, 1)</f>
        <v>41456</v>
      </c>
    </row>
    <row r="344" spans="1:6" x14ac:dyDescent="0.3">
      <c r="A344">
        <v>2013</v>
      </c>
      <c r="B344">
        <v>3</v>
      </c>
      <c r="C344" t="s">
        <v>5</v>
      </c>
      <c r="D344">
        <v>745398000</v>
      </c>
      <c r="E344" t="str">
        <f xml:space="preserve"> A344 &amp; " Q" &amp; B344</f>
        <v>2013 Q3</v>
      </c>
      <c r="F344" s="2">
        <f>DATE(A344, (B344-1)*3 + 1, 1)</f>
        <v>41456</v>
      </c>
    </row>
    <row r="345" spans="1:6" x14ac:dyDescent="0.3">
      <c r="A345">
        <v>2013</v>
      </c>
      <c r="B345">
        <v>3</v>
      </c>
      <c r="C345" t="s">
        <v>18</v>
      </c>
      <c r="D345">
        <v>188585000</v>
      </c>
      <c r="E345" t="str">
        <f xml:space="preserve"> A345 &amp; " Q" &amp; B345</f>
        <v>2013 Q3</v>
      </c>
      <c r="F345" s="2">
        <f>DATE(A345, (B345-1)*3 + 1, 1)</f>
        <v>41456</v>
      </c>
    </row>
    <row r="346" spans="1:6" x14ac:dyDescent="0.3">
      <c r="A346">
        <v>2013</v>
      </c>
      <c r="B346">
        <v>3</v>
      </c>
      <c r="C346" t="s">
        <v>19</v>
      </c>
      <c r="D346">
        <v>45406000</v>
      </c>
      <c r="E346" t="str">
        <f xml:space="preserve"> A346 &amp; " Q" &amp; B346</f>
        <v>2013 Q3</v>
      </c>
      <c r="F346" s="2">
        <f>DATE(A346, (B346-1)*3 + 1, 1)</f>
        <v>41456</v>
      </c>
    </row>
    <row r="347" spans="1:6" x14ac:dyDescent="0.3">
      <c r="A347">
        <v>2013</v>
      </c>
      <c r="B347">
        <v>3</v>
      </c>
      <c r="C347" t="s">
        <v>7</v>
      </c>
      <c r="D347">
        <v>213029000</v>
      </c>
      <c r="E347" t="str">
        <f xml:space="preserve"> A347 &amp; " Q" &amp; B347</f>
        <v>2013 Q3</v>
      </c>
      <c r="F347" s="2">
        <f>DATE(A347, (B347-1)*3 + 1, 1)</f>
        <v>41456</v>
      </c>
    </row>
    <row r="348" spans="1:6" x14ac:dyDescent="0.3">
      <c r="A348">
        <v>2013</v>
      </c>
      <c r="B348">
        <v>3</v>
      </c>
      <c r="C348" t="s">
        <v>8</v>
      </c>
      <c r="D348">
        <v>116794000</v>
      </c>
      <c r="E348" t="str">
        <f xml:space="preserve"> A348 &amp; " Q" &amp; B348</f>
        <v>2013 Q3</v>
      </c>
      <c r="F348" s="2">
        <f>DATE(A348, (B348-1)*3 + 1, 1)</f>
        <v>41456</v>
      </c>
    </row>
    <row r="349" spans="1:6" x14ac:dyDescent="0.3">
      <c r="A349">
        <v>2013</v>
      </c>
      <c r="B349">
        <v>3</v>
      </c>
      <c r="C349" t="s">
        <v>9</v>
      </c>
      <c r="D349">
        <v>435720000</v>
      </c>
      <c r="E349" t="str">
        <f xml:space="preserve"> A349 &amp; " Q" &amp; B349</f>
        <v>2013 Q3</v>
      </c>
      <c r="F349" s="2">
        <f>DATE(A349, (B349-1)*3 + 1, 1)</f>
        <v>41456</v>
      </c>
    </row>
    <row r="350" spans="1:6" x14ac:dyDescent="0.3">
      <c r="A350">
        <v>2013</v>
      </c>
      <c r="B350">
        <v>3</v>
      </c>
      <c r="C350" t="s">
        <v>10</v>
      </c>
      <c r="D350">
        <v>10272000</v>
      </c>
      <c r="E350" t="str">
        <f xml:space="preserve"> A350 &amp; " Q" &amp; B350</f>
        <v>2013 Q3</v>
      </c>
      <c r="F350" s="2">
        <f>DATE(A350, (B350-1)*3 + 1, 1)</f>
        <v>41456</v>
      </c>
    </row>
    <row r="351" spans="1:6" x14ac:dyDescent="0.3">
      <c r="A351">
        <v>2013</v>
      </c>
      <c r="B351">
        <v>3</v>
      </c>
      <c r="C351" t="s">
        <v>11</v>
      </c>
      <c r="D351">
        <v>57841000</v>
      </c>
      <c r="E351" t="str">
        <f xml:space="preserve"> A351 &amp; " Q" &amp; B351</f>
        <v>2013 Q3</v>
      </c>
      <c r="F351" s="2">
        <f>DATE(A351, (B351-1)*3 + 1, 1)</f>
        <v>41456</v>
      </c>
    </row>
    <row r="352" spans="1:6" x14ac:dyDescent="0.3">
      <c r="A352">
        <v>2013</v>
      </c>
      <c r="B352">
        <v>3</v>
      </c>
      <c r="C352" t="s">
        <v>12</v>
      </c>
      <c r="D352">
        <v>330794000</v>
      </c>
      <c r="E352" t="str">
        <f xml:space="preserve"> A352 &amp; " Q" &amp; B352</f>
        <v>2013 Q3</v>
      </c>
      <c r="F352" s="2">
        <f>DATE(A352, (B352-1)*3 + 1, 1)</f>
        <v>41456</v>
      </c>
    </row>
    <row r="353" spans="1:6" x14ac:dyDescent="0.3">
      <c r="A353">
        <v>2013</v>
      </c>
      <c r="B353">
        <v>3</v>
      </c>
      <c r="C353" t="s">
        <v>13</v>
      </c>
      <c r="D353">
        <v>28799000</v>
      </c>
      <c r="E353" t="str">
        <f xml:space="preserve"> A353 &amp; " Q" &amp; B353</f>
        <v>2013 Q3</v>
      </c>
      <c r="F353" s="2">
        <f>DATE(A353, (B353-1)*3 + 1, 1)</f>
        <v>41456</v>
      </c>
    </row>
    <row r="354" spans="1:6" x14ac:dyDescent="0.3">
      <c r="A354">
        <v>2013</v>
      </c>
      <c r="B354">
        <v>3</v>
      </c>
      <c r="C354" t="s">
        <v>14</v>
      </c>
      <c r="D354">
        <v>194820000</v>
      </c>
      <c r="E354" t="str">
        <f xml:space="preserve"> A354 &amp; " Q" &amp; B354</f>
        <v>2013 Q3</v>
      </c>
      <c r="F354" s="2">
        <f>DATE(A354, (B354-1)*3 + 1, 1)</f>
        <v>41456</v>
      </c>
    </row>
    <row r="355" spans="1:6" x14ac:dyDescent="0.3">
      <c r="A355">
        <v>2013</v>
      </c>
      <c r="B355">
        <v>3</v>
      </c>
      <c r="C355" t="s">
        <v>15</v>
      </c>
      <c r="D355">
        <v>80959000</v>
      </c>
      <c r="E355" t="str">
        <f xml:space="preserve"> A355 &amp; " Q" &amp; B355</f>
        <v>2013 Q3</v>
      </c>
      <c r="F355" s="2">
        <f>DATE(A355, (B355-1)*3 + 1, 1)</f>
        <v>41456</v>
      </c>
    </row>
    <row r="356" spans="1:6" x14ac:dyDescent="0.3">
      <c r="A356">
        <v>2013</v>
      </c>
      <c r="B356">
        <v>3</v>
      </c>
      <c r="C356" t="s">
        <v>16</v>
      </c>
      <c r="D356">
        <v>83874000</v>
      </c>
      <c r="E356" t="str">
        <f xml:space="preserve"> A356 &amp; " Q" &amp; B356</f>
        <v>2013 Q3</v>
      </c>
      <c r="F356" s="2">
        <f>DATE(A356, (B356-1)*3 + 1, 1)</f>
        <v>41456</v>
      </c>
    </row>
    <row r="357" spans="1:6" x14ac:dyDescent="0.3">
      <c r="A357">
        <v>2013</v>
      </c>
      <c r="B357">
        <v>3</v>
      </c>
      <c r="C357" t="s">
        <v>20</v>
      </c>
      <c r="D357">
        <v>150001000</v>
      </c>
      <c r="E357" t="str">
        <f xml:space="preserve"> A357 &amp; " Q" &amp; B357</f>
        <v>2013 Q3</v>
      </c>
      <c r="F357" s="2">
        <f>DATE(A357, (B357-1)*3 + 1, 1)</f>
        <v>41456</v>
      </c>
    </row>
    <row r="358" spans="1:6" x14ac:dyDescent="0.3">
      <c r="A358">
        <v>2013</v>
      </c>
      <c r="B358">
        <v>3</v>
      </c>
      <c r="C358" t="s">
        <v>17</v>
      </c>
      <c r="D358">
        <v>184941000</v>
      </c>
      <c r="E358" t="str">
        <f xml:space="preserve"> A358 &amp; " Q" &amp; B358</f>
        <v>2013 Q3</v>
      </c>
      <c r="F358" s="2">
        <f>DATE(A358, (B358-1)*3 + 1, 1)</f>
        <v>41456</v>
      </c>
    </row>
    <row r="359" spans="1:6" x14ac:dyDescent="0.3">
      <c r="A359">
        <v>2013</v>
      </c>
      <c r="B359">
        <v>4</v>
      </c>
      <c r="C359" t="s">
        <v>4</v>
      </c>
      <c r="D359">
        <v>275255000</v>
      </c>
      <c r="E359" t="str">
        <f xml:space="preserve"> A359 &amp; " Q" &amp; B359</f>
        <v>2013 Q4</v>
      </c>
      <c r="F359" s="2">
        <f>DATE(A359, (B359-1)*3 + 1, 1)</f>
        <v>41548</v>
      </c>
    </row>
    <row r="360" spans="1:6" x14ac:dyDescent="0.3">
      <c r="A360">
        <v>2013</v>
      </c>
      <c r="B360">
        <v>4</v>
      </c>
      <c r="C360" t="s">
        <v>5</v>
      </c>
      <c r="D360">
        <v>732627000</v>
      </c>
      <c r="E360" t="str">
        <f xml:space="preserve"> A360 &amp; " Q" &amp; B360</f>
        <v>2013 Q4</v>
      </c>
      <c r="F360" s="2">
        <f>DATE(A360, (B360-1)*3 + 1, 1)</f>
        <v>41548</v>
      </c>
    </row>
    <row r="361" spans="1:6" x14ac:dyDescent="0.3">
      <c r="A361">
        <v>2013</v>
      </c>
      <c r="B361">
        <v>4</v>
      </c>
      <c r="C361" t="s">
        <v>18</v>
      </c>
      <c r="D361">
        <v>196900000</v>
      </c>
      <c r="E361" t="str">
        <f xml:space="preserve"> A361 &amp; " Q" &amp; B361</f>
        <v>2013 Q4</v>
      </c>
      <c r="F361" s="2">
        <f>DATE(A361, (B361-1)*3 + 1, 1)</f>
        <v>41548</v>
      </c>
    </row>
    <row r="362" spans="1:6" x14ac:dyDescent="0.3">
      <c r="A362">
        <v>2013</v>
      </c>
      <c r="B362">
        <v>4</v>
      </c>
      <c r="C362" t="s">
        <v>19</v>
      </c>
      <c r="D362">
        <v>40346000</v>
      </c>
      <c r="E362" t="str">
        <f xml:space="preserve"> A362 &amp; " Q" &amp; B362</f>
        <v>2013 Q4</v>
      </c>
      <c r="F362" s="2">
        <f>DATE(A362, (B362-1)*3 + 1, 1)</f>
        <v>41548</v>
      </c>
    </row>
    <row r="363" spans="1:6" x14ac:dyDescent="0.3">
      <c r="A363">
        <v>2013</v>
      </c>
      <c r="B363">
        <v>4</v>
      </c>
      <c r="C363" t="s">
        <v>7</v>
      </c>
      <c r="D363">
        <v>223955000</v>
      </c>
      <c r="E363" t="str">
        <f xml:space="preserve"> A363 &amp; " Q" &amp; B363</f>
        <v>2013 Q4</v>
      </c>
      <c r="F363" s="2">
        <f>DATE(A363, (B363-1)*3 + 1, 1)</f>
        <v>41548</v>
      </c>
    </row>
    <row r="364" spans="1:6" x14ac:dyDescent="0.3">
      <c r="A364">
        <v>2013</v>
      </c>
      <c r="B364">
        <v>4</v>
      </c>
      <c r="C364" t="s">
        <v>8</v>
      </c>
      <c r="D364">
        <v>123295000</v>
      </c>
      <c r="E364" t="str">
        <f xml:space="preserve"> A364 &amp; " Q" &amp; B364</f>
        <v>2013 Q4</v>
      </c>
      <c r="F364" s="2">
        <f>DATE(A364, (B364-1)*3 + 1, 1)</f>
        <v>41548</v>
      </c>
    </row>
    <row r="365" spans="1:6" x14ac:dyDescent="0.3">
      <c r="A365">
        <v>2013</v>
      </c>
      <c r="B365">
        <v>4</v>
      </c>
      <c r="C365" t="s">
        <v>9</v>
      </c>
      <c r="D365">
        <v>423492000</v>
      </c>
      <c r="E365" t="str">
        <f xml:space="preserve"> A365 &amp; " Q" &amp; B365</f>
        <v>2013 Q4</v>
      </c>
      <c r="F365" s="2">
        <f>DATE(A365, (B365-1)*3 + 1, 1)</f>
        <v>41548</v>
      </c>
    </row>
    <row r="366" spans="1:6" x14ac:dyDescent="0.3">
      <c r="A366">
        <v>2013</v>
      </c>
      <c r="B366">
        <v>4</v>
      </c>
      <c r="C366" t="s">
        <v>10</v>
      </c>
      <c r="D366">
        <v>9673000</v>
      </c>
      <c r="E366" t="str">
        <f xml:space="preserve"> A366 &amp; " Q" &amp; B366</f>
        <v>2013 Q4</v>
      </c>
      <c r="F366" s="2">
        <f>DATE(A366, (B366-1)*3 + 1, 1)</f>
        <v>41548</v>
      </c>
    </row>
    <row r="367" spans="1:6" x14ac:dyDescent="0.3">
      <c r="A367">
        <v>2013</v>
      </c>
      <c r="B367">
        <v>4</v>
      </c>
      <c r="C367" t="s">
        <v>11</v>
      </c>
      <c r="D367">
        <v>62683000</v>
      </c>
      <c r="E367" t="str">
        <f xml:space="preserve"> A367 &amp; " Q" &amp; B367</f>
        <v>2013 Q4</v>
      </c>
      <c r="F367" s="2">
        <f>DATE(A367, (B367-1)*3 + 1, 1)</f>
        <v>41548</v>
      </c>
    </row>
    <row r="368" spans="1:6" x14ac:dyDescent="0.3">
      <c r="A368">
        <v>2013</v>
      </c>
      <c r="B368">
        <v>4</v>
      </c>
      <c r="C368" t="s">
        <v>12</v>
      </c>
      <c r="D368">
        <v>324108000</v>
      </c>
      <c r="E368" t="str">
        <f xml:space="preserve"> A368 &amp; " Q" &amp; B368</f>
        <v>2013 Q4</v>
      </c>
      <c r="F368" s="2">
        <f>DATE(A368, (B368-1)*3 + 1, 1)</f>
        <v>41548</v>
      </c>
    </row>
    <row r="369" spans="1:6" x14ac:dyDescent="0.3">
      <c r="A369">
        <v>2013</v>
      </c>
      <c r="B369">
        <v>4</v>
      </c>
      <c r="C369" t="s">
        <v>13</v>
      </c>
      <c r="D369">
        <v>30899000</v>
      </c>
      <c r="E369" t="str">
        <f xml:space="preserve"> A369 &amp; " Q" &amp; B369</f>
        <v>2013 Q4</v>
      </c>
      <c r="F369" s="2">
        <f>DATE(A369, (B369-1)*3 + 1, 1)</f>
        <v>41548</v>
      </c>
    </row>
    <row r="370" spans="1:6" x14ac:dyDescent="0.3">
      <c r="A370">
        <v>2013</v>
      </c>
      <c r="B370">
        <v>4</v>
      </c>
      <c r="C370" t="s">
        <v>14</v>
      </c>
      <c r="D370">
        <v>195480000</v>
      </c>
      <c r="E370" t="str">
        <f xml:space="preserve"> A370 &amp; " Q" &amp; B370</f>
        <v>2013 Q4</v>
      </c>
      <c r="F370" s="2">
        <f>DATE(A370, (B370-1)*3 + 1, 1)</f>
        <v>41548</v>
      </c>
    </row>
    <row r="371" spans="1:6" x14ac:dyDescent="0.3">
      <c r="A371">
        <v>2013</v>
      </c>
      <c r="B371">
        <v>4</v>
      </c>
      <c r="C371" t="s">
        <v>15</v>
      </c>
      <c r="D371">
        <v>79573000</v>
      </c>
      <c r="E371" t="str">
        <f xml:space="preserve"> A371 &amp; " Q" &amp; B371</f>
        <v>2013 Q4</v>
      </c>
      <c r="F371" s="2">
        <f>DATE(A371, (B371-1)*3 + 1, 1)</f>
        <v>41548</v>
      </c>
    </row>
    <row r="372" spans="1:6" x14ac:dyDescent="0.3">
      <c r="A372">
        <v>2013</v>
      </c>
      <c r="B372">
        <v>4</v>
      </c>
      <c r="C372" t="s">
        <v>16</v>
      </c>
      <c r="D372">
        <v>76429000</v>
      </c>
      <c r="E372" t="str">
        <f xml:space="preserve"> A372 &amp; " Q" &amp; B372</f>
        <v>2013 Q4</v>
      </c>
      <c r="F372" s="2">
        <f>DATE(A372, (B372-1)*3 + 1, 1)</f>
        <v>41548</v>
      </c>
    </row>
    <row r="373" spans="1:6" x14ac:dyDescent="0.3">
      <c r="A373">
        <v>2013</v>
      </c>
      <c r="B373">
        <v>4</v>
      </c>
      <c r="C373" t="s">
        <v>20</v>
      </c>
      <c r="D373">
        <v>146386000</v>
      </c>
      <c r="E373" t="str">
        <f xml:space="preserve"> A373 &amp; " Q" &amp; B373</f>
        <v>2013 Q4</v>
      </c>
      <c r="F373" s="2">
        <f>DATE(A373, (B373-1)*3 + 1, 1)</f>
        <v>41548</v>
      </c>
    </row>
    <row r="374" spans="1:6" x14ac:dyDescent="0.3">
      <c r="A374">
        <v>2013</v>
      </c>
      <c r="B374">
        <v>4</v>
      </c>
      <c r="C374" t="s">
        <v>17</v>
      </c>
      <c r="D374">
        <v>178264000</v>
      </c>
      <c r="E374" t="str">
        <f xml:space="preserve"> A374 &amp; " Q" &amp; B374</f>
        <v>2013 Q4</v>
      </c>
      <c r="F374" s="2">
        <f>DATE(A374, (B374-1)*3 + 1, 1)</f>
        <v>41548</v>
      </c>
    </row>
    <row r="375" spans="1:6" x14ac:dyDescent="0.3">
      <c r="A375">
        <v>2014</v>
      </c>
      <c r="B375">
        <v>1</v>
      </c>
      <c r="C375" t="s">
        <v>4</v>
      </c>
      <c r="D375">
        <v>283396000</v>
      </c>
      <c r="E375" t="str">
        <f xml:space="preserve"> A375 &amp; " Q" &amp; B375</f>
        <v>2014 Q1</v>
      </c>
      <c r="F375" s="2">
        <f>DATE(A375, (B375-1)*3 + 1, 1)</f>
        <v>41640</v>
      </c>
    </row>
    <row r="376" spans="1:6" x14ac:dyDescent="0.3">
      <c r="A376">
        <v>2014</v>
      </c>
      <c r="B376">
        <v>1</v>
      </c>
      <c r="C376" t="s">
        <v>5</v>
      </c>
      <c r="D376">
        <v>675104000</v>
      </c>
      <c r="E376" t="str">
        <f xml:space="preserve"> A376 &amp; " Q" &amp; B376</f>
        <v>2014 Q1</v>
      </c>
      <c r="F376" s="2">
        <f>DATE(A376, (B376-1)*3 + 1, 1)</f>
        <v>41640</v>
      </c>
    </row>
    <row r="377" spans="1:6" x14ac:dyDescent="0.3">
      <c r="A377">
        <v>2014</v>
      </c>
      <c r="B377">
        <v>1</v>
      </c>
      <c r="C377" t="s">
        <v>18</v>
      </c>
      <c r="D377">
        <v>185674000</v>
      </c>
      <c r="E377" t="str">
        <f xml:space="preserve"> A377 &amp; " Q" &amp; B377</f>
        <v>2014 Q1</v>
      </c>
      <c r="F377" s="2">
        <f>DATE(A377, (B377-1)*3 + 1, 1)</f>
        <v>41640</v>
      </c>
    </row>
    <row r="378" spans="1:6" x14ac:dyDescent="0.3">
      <c r="A378">
        <v>2014</v>
      </c>
      <c r="B378">
        <v>1</v>
      </c>
      <c r="C378" t="s">
        <v>19</v>
      </c>
      <c r="D378">
        <v>36051000</v>
      </c>
      <c r="E378" t="str">
        <f xml:space="preserve"> A378 &amp; " Q" &amp; B378</f>
        <v>2014 Q1</v>
      </c>
      <c r="F378" s="2">
        <f>DATE(A378, (B378-1)*3 + 1, 1)</f>
        <v>41640</v>
      </c>
    </row>
    <row r="379" spans="1:6" x14ac:dyDescent="0.3">
      <c r="A379">
        <v>2014</v>
      </c>
      <c r="B379">
        <v>1</v>
      </c>
      <c r="C379" t="s">
        <v>7</v>
      </c>
      <c r="D379">
        <v>202073000</v>
      </c>
      <c r="E379" t="str">
        <f xml:space="preserve"> A379 &amp; " Q" &amp; B379</f>
        <v>2014 Q1</v>
      </c>
      <c r="F379" s="2">
        <f>DATE(A379, (B379-1)*3 + 1, 1)</f>
        <v>41640</v>
      </c>
    </row>
    <row r="380" spans="1:6" x14ac:dyDescent="0.3">
      <c r="A380">
        <v>2014</v>
      </c>
      <c r="B380">
        <v>1</v>
      </c>
      <c r="C380" t="s">
        <v>8</v>
      </c>
      <c r="D380">
        <v>107931000</v>
      </c>
      <c r="E380" t="str">
        <f xml:space="preserve"> A380 &amp; " Q" &amp; B380</f>
        <v>2014 Q1</v>
      </c>
      <c r="F380" s="2">
        <f>DATE(A380, (B380-1)*3 + 1, 1)</f>
        <v>41640</v>
      </c>
    </row>
    <row r="381" spans="1:6" x14ac:dyDescent="0.3">
      <c r="A381">
        <v>2014</v>
      </c>
      <c r="B381">
        <v>1</v>
      </c>
      <c r="C381" t="s">
        <v>9</v>
      </c>
      <c r="D381">
        <v>401889000</v>
      </c>
      <c r="E381" t="str">
        <f xml:space="preserve"> A381 &amp; " Q" &amp; B381</f>
        <v>2014 Q1</v>
      </c>
      <c r="F381" s="2">
        <f>DATE(A381, (B381-1)*3 + 1, 1)</f>
        <v>41640</v>
      </c>
    </row>
    <row r="382" spans="1:6" x14ac:dyDescent="0.3">
      <c r="A382">
        <v>2014</v>
      </c>
      <c r="B382">
        <v>1</v>
      </c>
      <c r="C382" t="s">
        <v>10</v>
      </c>
      <c r="D382">
        <v>10504000</v>
      </c>
      <c r="E382" t="str">
        <f xml:space="preserve"> A382 &amp; " Q" &amp; B382</f>
        <v>2014 Q1</v>
      </c>
      <c r="F382" s="2">
        <f>DATE(A382, (B382-1)*3 + 1, 1)</f>
        <v>41640</v>
      </c>
    </row>
    <row r="383" spans="1:6" x14ac:dyDescent="0.3">
      <c r="A383">
        <v>2014</v>
      </c>
      <c r="B383">
        <v>1</v>
      </c>
      <c r="C383" t="s">
        <v>11</v>
      </c>
      <c r="D383">
        <v>55715000</v>
      </c>
      <c r="E383" t="str">
        <f xml:space="preserve"> A383 &amp; " Q" &amp; B383</f>
        <v>2014 Q1</v>
      </c>
      <c r="F383" s="2">
        <f>DATE(A383, (B383-1)*3 + 1, 1)</f>
        <v>41640</v>
      </c>
    </row>
    <row r="384" spans="1:6" x14ac:dyDescent="0.3">
      <c r="A384">
        <v>2014</v>
      </c>
      <c r="B384">
        <v>1</v>
      </c>
      <c r="C384" t="s">
        <v>12</v>
      </c>
      <c r="D384">
        <v>300816000</v>
      </c>
      <c r="E384" t="str">
        <f xml:space="preserve"> A384 &amp; " Q" &amp; B384</f>
        <v>2014 Q1</v>
      </c>
      <c r="F384" s="2">
        <f>DATE(A384, (B384-1)*3 + 1, 1)</f>
        <v>41640</v>
      </c>
    </row>
    <row r="385" spans="1:6" x14ac:dyDescent="0.3">
      <c r="A385">
        <v>2014</v>
      </c>
      <c r="B385">
        <v>1</v>
      </c>
      <c r="C385" t="s">
        <v>13</v>
      </c>
      <c r="D385">
        <v>27358000</v>
      </c>
      <c r="E385" t="str">
        <f xml:space="preserve"> A385 &amp; " Q" &amp; B385</f>
        <v>2014 Q1</v>
      </c>
      <c r="F385" s="2">
        <f>DATE(A385, (B385-1)*3 + 1, 1)</f>
        <v>41640</v>
      </c>
    </row>
    <row r="386" spans="1:6" x14ac:dyDescent="0.3">
      <c r="A386">
        <v>2014</v>
      </c>
      <c r="B386">
        <v>1</v>
      </c>
      <c r="C386" t="s">
        <v>14</v>
      </c>
      <c r="D386">
        <v>178962000</v>
      </c>
      <c r="E386" t="str">
        <f xml:space="preserve"> A386 &amp; " Q" &amp; B386</f>
        <v>2014 Q1</v>
      </c>
      <c r="F386" s="2">
        <f>DATE(A386, (B386-1)*3 + 1, 1)</f>
        <v>41640</v>
      </c>
    </row>
    <row r="387" spans="1:6" x14ac:dyDescent="0.3">
      <c r="A387">
        <v>2014</v>
      </c>
      <c r="B387">
        <v>1</v>
      </c>
      <c r="C387" t="s">
        <v>15</v>
      </c>
      <c r="D387">
        <v>83340000</v>
      </c>
      <c r="E387" t="str">
        <f xml:space="preserve"> A387 &amp; " Q" &amp; B387</f>
        <v>2014 Q1</v>
      </c>
      <c r="F387" s="2">
        <f>DATE(A387, (B387-1)*3 + 1, 1)</f>
        <v>41640</v>
      </c>
    </row>
    <row r="388" spans="1:6" x14ac:dyDescent="0.3">
      <c r="A388">
        <v>2014</v>
      </c>
      <c r="B388">
        <v>1</v>
      </c>
      <c r="C388" t="s">
        <v>16</v>
      </c>
      <c r="D388">
        <v>80844000</v>
      </c>
      <c r="E388" t="str">
        <f xml:space="preserve"> A388 &amp; " Q" &amp; B388</f>
        <v>2014 Q1</v>
      </c>
      <c r="F388" s="2">
        <f>DATE(A388, (B388-1)*3 + 1, 1)</f>
        <v>41640</v>
      </c>
    </row>
    <row r="389" spans="1:6" x14ac:dyDescent="0.3">
      <c r="A389">
        <v>2014</v>
      </c>
      <c r="B389">
        <v>1</v>
      </c>
      <c r="C389" t="s">
        <v>20</v>
      </c>
      <c r="D389">
        <v>136362000</v>
      </c>
      <c r="E389" t="str">
        <f xml:space="preserve"> A389 &amp; " Q" &amp; B389</f>
        <v>2014 Q1</v>
      </c>
      <c r="F389" s="2">
        <f>DATE(A389, (B389-1)*3 + 1, 1)</f>
        <v>41640</v>
      </c>
    </row>
    <row r="390" spans="1:6" x14ac:dyDescent="0.3">
      <c r="A390">
        <v>2014</v>
      </c>
      <c r="B390">
        <v>1</v>
      </c>
      <c r="C390" t="s">
        <v>17</v>
      </c>
      <c r="D390">
        <v>170625000</v>
      </c>
      <c r="E390" t="str">
        <f xml:space="preserve"> A390 &amp; " Q" &amp; B390</f>
        <v>2014 Q1</v>
      </c>
      <c r="F390" s="2">
        <f>DATE(A390, (B390-1)*3 + 1, 1)</f>
        <v>41640</v>
      </c>
    </row>
    <row r="391" spans="1:6" x14ac:dyDescent="0.3">
      <c r="A391">
        <v>2014</v>
      </c>
      <c r="B391">
        <v>2</v>
      </c>
      <c r="C391" t="s">
        <v>4</v>
      </c>
      <c r="D391">
        <v>360030000</v>
      </c>
      <c r="E391" t="str">
        <f xml:space="preserve"> A391 &amp; " Q" &amp; B391</f>
        <v>2014 Q2</v>
      </c>
      <c r="F391" s="2">
        <f>DATE(A391, (B391-1)*3 + 1, 1)</f>
        <v>41730</v>
      </c>
    </row>
    <row r="392" spans="1:6" x14ac:dyDescent="0.3">
      <c r="A392">
        <v>2014</v>
      </c>
      <c r="B392">
        <v>2</v>
      </c>
      <c r="C392" t="s">
        <v>5</v>
      </c>
      <c r="D392">
        <v>754420000</v>
      </c>
      <c r="E392" t="str">
        <f xml:space="preserve"> A392 &amp; " Q" &amp; B392</f>
        <v>2014 Q2</v>
      </c>
      <c r="F392" s="2">
        <f>DATE(A392, (B392-1)*3 + 1, 1)</f>
        <v>41730</v>
      </c>
    </row>
    <row r="393" spans="1:6" x14ac:dyDescent="0.3">
      <c r="A393">
        <v>2014</v>
      </c>
      <c r="B393">
        <v>2</v>
      </c>
      <c r="C393" t="s">
        <v>18</v>
      </c>
      <c r="D393">
        <v>203849000</v>
      </c>
      <c r="E393" t="str">
        <f xml:space="preserve"> A393 &amp; " Q" &amp; B393</f>
        <v>2014 Q2</v>
      </c>
      <c r="F393" s="2">
        <f>DATE(A393, (B393-1)*3 + 1, 1)</f>
        <v>41730</v>
      </c>
    </row>
    <row r="394" spans="1:6" x14ac:dyDescent="0.3">
      <c r="A394">
        <v>2014</v>
      </c>
      <c r="B394">
        <v>2</v>
      </c>
      <c r="C394" t="s">
        <v>19</v>
      </c>
      <c r="D394">
        <v>42590000</v>
      </c>
      <c r="E394" t="str">
        <f xml:space="preserve"> A394 &amp; " Q" &amp; B394</f>
        <v>2014 Q2</v>
      </c>
      <c r="F394" s="2">
        <f>DATE(A394, (B394-1)*3 + 1, 1)</f>
        <v>41730</v>
      </c>
    </row>
    <row r="395" spans="1:6" x14ac:dyDescent="0.3">
      <c r="A395">
        <v>2014</v>
      </c>
      <c r="B395">
        <v>2</v>
      </c>
      <c r="C395" t="s">
        <v>7</v>
      </c>
      <c r="D395">
        <v>220982000</v>
      </c>
      <c r="E395" t="str">
        <f xml:space="preserve"> A395 &amp; " Q" &amp; B395</f>
        <v>2014 Q2</v>
      </c>
      <c r="F395" s="2">
        <f>DATE(A395, (B395-1)*3 + 1, 1)</f>
        <v>41730</v>
      </c>
    </row>
    <row r="396" spans="1:6" x14ac:dyDescent="0.3">
      <c r="A396">
        <v>2014</v>
      </c>
      <c r="B396">
        <v>2</v>
      </c>
      <c r="C396" t="s">
        <v>8</v>
      </c>
      <c r="D396">
        <v>121608000</v>
      </c>
      <c r="E396" t="str">
        <f xml:space="preserve"> A396 &amp; " Q" &amp; B396</f>
        <v>2014 Q2</v>
      </c>
      <c r="F396" s="2">
        <f>DATE(A396, (B396-1)*3 + 1, 1)</f>
        <v>41730</v>
      </c>
    </row>
    <row r="397" spans="1:6" x14ac:dyDescent="0.3">
      <c r="A397">
        <v>2014</v>
      </c>
      <c r="B397">
        <v>2</v>
      </c>
      <c r="C397" t="s">
        <v>9</v>
      </c>
      <c r="D397">
        <v>443721000</v>
      </c>
      <c r="E397" t="str">
        <f xml:space="preserve"> A397 &amp; " Q" &amp; B397</f>
        <v>2014 Q2</v>
      </c>
      <c r="F397" s="2">
        <f>DATE(A397, (B397-1)*3 + 1, 1)</f>
        <v>41730</v>
      </c>
    </row>
    <row r="398" spans="1:6" x14ac:dyDescent="0.3">
      <c r="A398">
        <v>2014</v>
      </c>
      <c r="B398">
        <v>2</v>
      </c>
      <c r="C398" t="s">
        <v>10</v>
      </c>
      <c r="D398">
        <v>10861000</v>
      </c>
      <c r="E398" t="str">
        <f xml:space="preserve"> A398 &amp; " Q" &amp; B398</f>
        <v>2014 Q2</v>
      </c>
      <c r="F398" s="2">
        <f>DATE(A398, (B398-1)*3 + 1, 1)</f>
        <v>41730</v>
      </c>
    </row>
    <row r="399" spans="1:6" x14ac:dyDescent="0.3">
      <c r="A399">
        <v>2014</v>
      </c>
      <c r="B399">
        <v>2</v>
      </c>
      <c r="C399" t="s">
        <v>11</v>
      </c>
      <c r="D399">
        <v>69082000</v>
      </c>
      <c r="E399" t="str">
        <f xml:space="preserve"> A399 &amp; " Q" &amp; B399</f>
        <v>2014 Q2</v>
      </c>
      <c r="F399" s="2">
        <f>DATE(A399, (B399-1)*3 + 1, 1)</f>
        <v>41730</v>
      </c>
    </row>
    <row r="400" spans="1:6" x14ac:dyDescent="0.3">
      <c r="A400">
        <v>2014</v>
      </c>
      <c r="B400">
        <v>2</v>
      </c>
      <c r="C400" t="s">
        <v>12</v>
      </c>
      <c r="D400">
        <v>344818000</v>
      </c>
      <c r="E400" t="str">
        <f xml:space="preserve"> A400 &amp; " Q" &amp; B400</f>
        <v>2014 Q2</v>
      </c>
      <c r="F400" s="2">
        <f>DATE(A400, (B400-1)*3 + 1, 1)</f>
        <v>41730</v>
      </c>
    </row>
    <row r="401" spans="1:6" x14ac:dyDescent="0.3">
      <c r="A401">
        <v>2014</v>
      </c>
      <c r="B401">
        <v>2</v>
      </c>
      <c r="C401" t="s">
        <v>13</v>
      </c>
      <c r="D401">
        <v>29590000</v>
      </c>
      <c r="E401" t="str">
        <f xml:space="preserve"> A401 &amp; " Q" &amp; B401</f>
        <v>2014 Q2</v>
      </c>
      <c r="F401" s="2">
        <f>DATE(A401, (B401-1)*3 + 1, 1)</f>
        <v>41730</v>
      </c>
    </row>
    <row r="402" spans="1:6" x14ac:dyDescent="0.3">
      <c r="A402">
        <v>2014</v>
      </c>
      <c r="B402">
        <v>2</v>
      </c>
      <c r="C402" t="s">
        <v>14</v>
      </c>
      <c r="D402">
        <v>208887000</v>
      </c>
      <c r="E402" t="str">
        <f xml:space="preserve"> A402 &amp; " Q" &amp; B402</f>
        <v>2014 Q2</v>
      </c>
      <c r="F402" s="2">
        <f>DATE(A402, (B402-1)*3 + 1, 1)</f>
        <v>41730</v>
      </c>
    </row>
    <row r="403" spans="1:6" x14ac:dyDescent="0.3">
      <c r="A403">
        <v>2014</v>
      </c>
      <c r="B403">
        <v>2</v>
      </c>
      <c r="C403" t="s">
        <v>15</v>
      </c>
      <c r="D403">
        <v>86760000</v>
      </c>
      <c r="E403" t="str">
        <f xml:space="preserve"> A403 &amp; " Q" &amp; B403</f>
        <v>2014 Q2</v>
      </c>
      <c r="F403" s="2">
        <f>DATE(A403, (B403-1)*3 + 1, 1)</f>
        <v>41730</v>
      </c>
    </row>
    <row r="404" spans="1:6" x14ac:dyDescent="0.3">
      <c r="A404">
        <v>2014</v>
      </c>
      <c r="B404">
        <v>2</v>
      </c>
      <c r="C404" t="s">
        <v>16</v>
      </c>
      <c r="D404">
        <v>84645000</v>
      </c>
      <c r="E404" t="str">
        <f xml:space="preserve"> A404 &amp; " Q" &amp; B404</f>
        <v>2014 Q2</v>
      </c>
      <c r="F404" s="2">
        <f>DATE(A404, (B404-1)*3 + 1, 1)</f>
        <v>41730</v>
      </c>
    </row>
    <row r="405" spans="1:6" x14ac:dyDescent="0.3">
      <c r="A405">
        <v>2014</v>
      </c>
      <c r="B405">
        <v>2</v>
      </c>
      <c r="C405" t="s">
        <v>20</v>
      </c>
      <c r="D405">
        <v>154778000</v>
      </c>
      <c r="E405" t="str">
        <f xml:space="preserve"> A405 &amp; " Q" &amp; B405</f>
        <v>2014 Q2</v>
      </c>
      <c r="F405" s="2">
        <f>DATE(A405, (B405-1)*3 + 1, 1)</f>
        <v>41730</v>
      </c>
    </row>
    <row r="406" spans="1:6" x14ac:dyDescent="0.3">
      <c r="A406">
        <v>2014</v>
      </c>
      <c r="B406">
        <v>2</v>
      </c>
      <c r="C406" t="s">
        <v>17</v>
      </c>
      <c r="D406">
        <v>194421000</v>
      </c>
      <c r="E406" t="str">
        <f xml:space="preserve"> A406 &amp; " Q" &amp; B406</f>
        <v>2014 Q2</v>
      </c>
      <c r="F406" s="2">
        <f>DATE(A406, (B406-1)*3 + 1, 1)</f>
        <v>41730</v>
      </c>
    </row>
    <row r="407" spans="1:6" x14ac:dyDescent="0.3">
      <c r="A407">
        <v>2014</v>
      </c>
      <c r="B407">
        <v>3</v>
      </c>
      <c r="C407" t="s">
        <v>4</v>
      </c>
      <c r="D407">
        <v>376643000</v>
      </c>
      <c r="E407" t="str">
        <f xml:space="preserve"> A407 &amp; " Q" &amp; B407</f>
        <v>2014 Q3</v>
      </c>
      <c r="F407" s="2">
        <f>DATE(A407, (B407-1)*3 + 1, 1)</f>
        <v>41821</v>
      </c>
    </row>
    <row r="408" spans="1:6" x14ac:dyDescent="0.3">
      <c r="A408">
        <v>2014</v>
      </c>
      <c r="B408">
        <v>3</v>
      </c>
      <c r="C408" t="s">
        <v>5</v>
      </c>
      <c r="D408">
        <v>841601000</v>
      </c>
      <c r="E408" t="str">
        <f xml:space="preserve"> A408 &amp; " Q" &amp; B408</f>
        <v>2014 Q3</v>
      </c>
      <c r="F408" s="2">
        <f>DATE(A408, (B408-1)*3 + 1, 1)</f>
        <v>41821</v>
      </c>
    </row>
    <row r="409" spans="1:6" x14ac:dyDescent="0.3">
      <c r="A409">
        <v>2014</v>
      </c>
      <c r="B409">
        <v>3</v>
      </c>
      <c r="C409" t="s">
        <v>18</v>
      </c>
      <c r="D409">
        <v>218816000</v>
      </c>
      <c r="E409" t="str">
        <f xml:space="preserve"> A409 &amp; " Q" &amp; B409</f>
        <v>2014 Q3</v>
      </c>
      <c r="F409" s="2">
        <f>DATE(A409, (B409-1)*3 + 1, 1)</f>
        <v>41821</v>
      </c>
    </row>
    <row r="410" spans="1:6" x14ac:dyDescent="0.3">
      <c r="A410">
        <v>2014</v>
      </c>
      <c r="B410">
        <v>3</v>
      </c>
      <c r="C410" t="s">
        <v>19</v>
      </c>
      <c r="D410">
        <v>46039000</v>
      </c>
      <c r="E410" t="str">
        <f xml:space="preserve"> A410 &amp; " Q" &amp; B410</f>
        <v>2014 Q3</v>
      </c>
      <c r="F410" s="2">
        <f>DATE(A410, (B410-1)*3 + 1, 1)</f>
        <v>41821</v>
      </c>
    </row>
    <row r="411" spans="1:6" x14ac:dyDescent="0.3">
      <c r="A411">
        <v>2014</v>
      </c>
      <c r="B411">
        <v>3</v>
      </c>
      <c r="C411" t="s">
        <v>7</v>
      </c>
      <c r="D411">
        <v>242122000</v>
      </c>
      <c r="E411" t="str">
        <f xml:space="preserve"> A411 &amp; " Q" &amp; B411</f>
        <v>2014 Q3</v>
      </c>
      <c r="F411" s="2">
        <f>DATE(A411, (B411-1)*3 + 1, 1)</f>
        <v>41821</v>
      </c>
    </row>
    <row r="412" spans="1:6" x14ac:dyDescent="0.3">
      <c r="A412">
        <v>2014</v>
      </c>
      <c r="B412">
        <v>3</v>
      </c>
      <c r="C412" t="s">
        <v>8</v>
      </c>
      <c r="D412">
        <v>130007000</v>
      </c>
      <c r="E412" t="str">
        <f xml:space="preserve"> A412 &amp; " Q" &amp; B412</f>
        <v>2014 Q3</v>
      </c>
      <c r="F412" s="2">
        <f>DATE(A412, (B412-1)*3 + 1, 1)</f>
        <v>41821</v>
      </c>
    </row>
    <row r="413" spans="1:6" x14ac:dyDescent="0.3">
      <c r="A413">
        <v>2014</v>
      </c>
      <c r="B413">
        <v>3</v>
      </c>
      <c r="C413" t="s">
        <v>9</v>
      </c>
      <c r="D413">
        <v>469418000</v>
      </c>
      <c r="E413" t="str">
        <f xml:space="preserve"> A413 &amp; " Q" &amp; B413</f>
        <v>2014 Q3</v>
      </c>
      <c r="F413" s="2">
        <f>DATE(A413, (B413-1)*3 + 1, 1)</f>
        <v>41821</v>
      </c>
    </row>
    <row r="414" spans="1:6" x14ac:dyDescent="0.3">
      <c r="A414">
        <v>2014</v>
      </c>
      <c r="B414">
        <v>3</v>
      </c>
      <c r="C414" t="s">
        <v>10</v>
      </c>
      <c r="D414">
        <v>11600000</v>
      </c>
      <c r="E414" t="str">
        <f xml:space="preserve"> A414 &amp; " Q" &amp; B414</f>
        <v>2014 Q3</v>
      </c>
      <c r="F414" s="2">
        <f>DATE(A414, (B414-1)*3 + 1, 1)</f>
        <v>41821</v>
      </c>
    </row>
    <row r="415" spans="1:6" x14ac:dyDescent="0.3">
      <c r="A415">
        <v>2014</v>
      </c>
      <c r="B415">
        <v>3</v>
      </c>
      <c r="C415" t="s">
        <v>11</v>
      </c>
      <c r="D415">
        <v>76284000</v>
      </c>
      <c r="E415" t="str">
        <f xml:space="preserve"> A415 &amp; " Q" &amp; B415</f>
        <v>2014 Q3</v>
      </c>
      <c r="F415" s="2">
        <f>DATE(A415, (B415-1)*3 + 1, 1)</f>
        <v>41821</v>
      </c>
    </row>
    <row r="416" spans="1:6" x14ac:dyDescent="0.3">
      <c r="A416">
        <v>2014</v>
      </c>
      <c r="B416">
        <v>3</v>
      </c>
      <c r="C416" t="s">
        <v>12</v>
      </c>
      <c r="D416">
        <v>381093000</v>
      </c>
      <c r="E416" t="str">
        <f xml:space="preserve"> A416 &amp; " Q" &amp; B416</f>
        <v>2014 Q3</v>
      </c>
      <c r="F416" s="2">
        <f>DATE(A416, (B416-1)*3 + 1, 1)</f>
        <v>41821</v>
      </c>
    </row>
    <row r="417" spans="1:6" x14ac:dyDescent="0.3">
      <c r="A417">
        <v>2014</v>
      </c>
      <c r="B417">
        <v>3</v>
      </c>
      <c r="C417" t="s">
        <v>13</v>
      </c>
      <c r="D417">
        <v>33303000</v>
      </c>
      <c r="E417" t="str">
        <f xml:space="preserve"> A417 &amp; " Q" &amp; B417</f>
        <v>2014 Q3</v>
      </c>
      <c r="F417" s="2">
        <f>DATE(A417, (B417-1)*3 + 1, 1)</f>
        <v>41821</v>
      </c>
    </row>
    <row r="418" spans="1:6" x14ac:dyDescent="0.3">
      <c r="A418">
        <v>2014</v>
      </c>
      <c r="B418">
        <v>3</v>
      </c>
      <c r="C418" t="s">
        <v>14</v>
      </c>
      <c r="D418">
        <v>234870000</v>
      </c>
      <c r="E418" t="str">
        <f xml:space="preserve"> A418 &amp; " Q" &amp; B418</f>
        <v>2014 Q3</v>
      </c>
      <c r="F418" s="2">
        <f>DATE(A418, (B418-1)*3 + 1, 1)</f>
        <v>41821</v>
      </c>
    </row>
    <row r="419" spans="1:6" x14ac:dyDescent="0.3">
      <c r="A419">
        <v>2014</v>
      </c>
      <c r="B419">
        <v>3</v>
      </c>
      <c r="C419" t="s">
        <v>15</v>
      </c>
      <c r="D419">
        <v>94968000</v>
      </c>
      <c r="E419" t="str">
        <f xml:space="preserve"> A419 &amp; " Q" &amp; B419</f>
        <v>2014 Q3</v>
      </c>
      <c r="F419" s="2">
        <f>DATE(A419, (B419-1)*3 + 1, 1)</f>
        <v>41821</v>
      </c>
    </row>
    <row r="420" spans="1:6" x14ac:dyDescent="0.3">
      <c r="A420">
        <v>2014</v>
      </c>
      <c r="B420">
        <v>3</v>
      </c>
      <c r="C420" t="s">
        <v>16</v>
      </c>
      <c r="D420">
        <v>93183000</v>
      </c>
      <c r="E420" t="str">
        <f xml:space="preserve"> A420 &amp; " Q" &amp; B420</f>
        <v>2014 Q3</v>
      </c>
      <c r="F420" s="2">
        <f>DATE(A420, (B420-1)*3 + 1, 1)</f>
        <v>41821</v>
      </c>
    </row>
    <row r="421" spans="1:6" x14ac:dyDescent="0.3">
      <c r="A421">
        <v>2014</v>
      </c>
      <c r="B421">
        <v>3</v>
      </c>
      <c r="C421" t="s">
        <v>20</v>
      </c>
      <c r="D421">
        <v>162490000</v>
      </c>
      <c r="E421" t="str">
        <f xml:space="preserve"> A421 &amp; " Q" &amp; B421</f>
        <v>2014 Q3</v>
      </c>
      <c r="F421" s="2">
        <f>DATE(A421, (B421-1)*3 + 1, 1)</f>
        <v>41821</v>
      </c>
    </row>
    <row r="422" spans="1:6" x14ac:dyDescent="0.3">
      <c r="A422">
        <v>2014</v>
      </c>
      <c r="B422">
        <v>3</v>
      </c>
      <c r="C422" t="s">
        <v>17</v>
      </c>
      <c r="D422">
        <v>211909000</v>
      </c>
      <c r="E422" t="str">
        <f xml:space="preserve"> A422 &amp; " Q" &amp; B422</f>
        <v>2014 Q3</v>
      </c>
      <c r="F422" s="2">
        <f>DATE(A422, (B422-1)*3 + 1, 1)</f>
        <v>41821</v>
      </c>
    </row>
    <row r="423" spans="1:6" x14ac:dyDescent="0.3">
      <c r="A423">
        <v>2014</v>
      </c>
      <c r="B423">
        <v>4</v>
      </c>
      <c r="C423" t="s">
        <v>4</v>
      </c>
      <c r="D423">
        <v>360045000</v>
      </c>
      <c r="E423" t="str">
        <f xml:space="preserve"> A423 &amp; " Q" &amp; B423</f>
        <v>2014 Q4</v>
      </c>
      <c r="F423" s="2">
        <f>DATE(A423, (B423-1)*3 + 1, 1)</f>
        <v>41913</v>
      </c>
    </row>
    <row r="424" spans="1:6" x14ac:dyDescent="0.3">
      <c r="A424">
        <v>2014</v>
      </c>
      <c r="B424">
        <v>4</v>
      </c>
      <c r="C424" t="s">
        <v>5</v>
      </c>
      <c r="D424">
        <v>842332000</v>
      </c>
      <c r="E424" t="str">
        <f xml:space="preserve"> A424 &amp; " Q" &amp; B424</f>
        <v>2014 Q4</v>
      </c>
      <c r="F424" s="2">
        <f>DATE(A424, (B424-1)*3 + 1, 1)</f>
        <v>41913</v>
      </c>
    </row>
    <row r="425" spans="1:6" x14ac:dyDescent="0.3">
      <c r="A425">
        <v>2014</v>
      </c>
      <c r="B425">
        <v>4</v>
      </c>
      <c r="C425" t="s">
        <v>18</v>
      </c>
      <c r="D425">
        <v>220250000</v>
      </c>
      <c r="E425" t="str">
        <f xml:space="preserve"> A425 &amp; " Q" &amp; B425</f>
        <v>2014 Q4</v>
      </c>
      <c r="F425" s="2">
        <f>DATE(A425, (B425-1)*3 + 1, 1)</f>
        <v>41913</v>
      </c>
    </row>
    <row r="426" spans="1:6" x14ac:dyDescent="0.3">
      <c r="A426">
        <v>2014</v>
      </c>
      <c r="B426">
        <v>4</v>
      </c>
      <c r="C426" t="s">
        <v>19</v>
      </c>
      <c r="D426">
        <v>38690000</v>
      </c>
      <c r="E426" t="str">
        <f xml:space="preserve"> A426 &amp; " Q" &amp; B426</f>
        <v>2014 Q4</v>
      </c>
      <c r="F426" s="2">
        <f>DATE(A426, (B426-1)*3 + 1, 1)</f>
        <v>41913</v>
      </c>
    </row>
    <row r="427" spans="1:6" x14ac:dyDescent="0.3">
      <c r="A427">
        <v>2014</v>
      </c>
      <c r="B427">
        <v>4</v>
      </c>
      <c r="C427" t="s">
        <v>7</v>
      </c>
      <c r="D427">
        <v>231237000</v>
      </c>
      <c r="E427" t="str">
        <f xml:space="preserve"> A427 &amp; " Q" &amp; B427</f>
        <v>2014 Q4</v>
      </c>
      <c r="F427" s="2">
        <f>DATE(A427, (B427-1)*3 + 1, 1)</f>
        <v>41913</v>
      </c>
    </row>
    <row r="428" spans="1:6" x14ac:dyDescent="0.3">
      <c r="A428">
        <v>2014</v>
      </c>
      <c r="B428">
        <v>4</v>
      </c>
      <c r="C428" t="s">
        <v>8</v>
      </c>
      <c r="D428">
        <v>135400000</v>
      </c>
      <c r="E428" t="str">
        <f xml:space="preserve"> A428 &amp; " Q" &amp; B428</f>
        <v>2014 Q4</v>
      </c>
      <c r="F428" s="2">
        <f>DATE(A428, (B428-1)*3 + 1, 1)</f>
        <v>41913</v>
      </c>
    </row>
    <row r="429" spans="1:6" x14ac:dyDescent="0.3">
      <c r="A429">
        <v>2014</v>
      </c>
      <c r="B429">
        <v>4</v>
      </c>
      <c r="C429" t="s">
        <v>9</v>
      </c>
      <c r="D429">
        <v>445584000</v>
      </c>
      <c r="E429" t="str">
        <f xml:space="preserve"> A429 &amp; " Q" &amp; B429</f>
        <v>2014 Q4</v>
      </c>
      <c r="F429" s="2">
        <f>DATE(A429, (B429-1)*3 + 1, 1)</f>
        <v>41913</v>
      </c>
    </row>
    <row r="430" spans="1:6" x14ac:dyDescent="0.3">
      <c r="A430">
        <v>2014</v>
      </c>
      <c r="B430">
        <v>4</v>
      </c>
      <c r="C430" t="s">
        <v>10</v>
      </c>
      <c r="D430">
        <v>10579000</v>
      </c>
      <c r="E430" t="str">
        <f xml:space="preserve"> A430 &amp; " Q" &amp; B430</f>
        <v>2014 Q4</v>
      </c>
      <c r="F430" s="2">
        <f>DATE(A430, (B430-1)*3 + 1, 1)</f>
        <v>41913</v>
      </c>
    </row>
    <row r="431" spans="1:6" x14ac:dyDescent="0.3">
      <c r="A431">
        <v>2014</v>
      </c>
      <c r="B431">
        <v>4</v>
      </c>
      <c r="C431" t="s">
        <v>11</v>
      </c>
      <c r="D431">
        <v>69763000</v>
      </c>
      <c r="E431" t="str">
        <f xml:space="preserve"> A431 &amp; " Q" &amp; B431</f>
        <v>2014 Q4</v>
      </c>
      <c r="F431" s="2">
        <f>DATE(A431, (B431-1)*3 + 1, 1)</f>
        <v>41913</v>
      </c>
    </row>
    <row r="432" spans="1:6" x14ac:dyDescent="0.3">
      <c r="A432">
        <v>2014</v>
      </c>
      <c r="B432">
        <v>4</v>
      </c>
      <c r="C432" t="s">
        <v>12</v>
      </c>
      <c r="D432">
        <v>360044000</v>
      </c>
      <c r="E432" t="str">
        <f xml:space="preserve"> A432 &amp; " Q" &amp; B432</f>
        <v>2014 Q4</v>
      </c>
      <c r="F432" s="2">
        <f>DATE(A432, (B432-1)*3 + 1, 1)</f>
        <v>41913</v>
      </c>
    </row>
    <row r="433" spans="1:6" x14ac:dyDescent="0.3">
      <c r="A433">
        <v>2014</v>
      </c>
      <c r="B433">
        <v>4</v>
      </c>
      <c r="C433" t="s">
        <v>13</v>
      </c>
      <c r="D433">
        <v>34040000</v>
      </c>
      <c r="E433" t="str">
        <f xml:space="preserve"> A433 &amp; " Q" &amp; B433</f>
        <v>2014 Q4</v>
      </c>
      <c r="F433" s="2">
        <f>DATE(A433, (B433-1)*3 + 1, 1)</f>
        <v>41913</v>
      </c>
    </row>
    <row r="434" spans="1:6" x14ac:dyDescent="0.3">
      <c r="A434">
        <v>2014</v>
      </c>
      <c r="B434">
        <v>4</v>
      </c>
      <c r="C434" t="s">
        <v>14</v>
      </c>
      <c r="D434">
        <v>224967000</v>
      </c>
      <c r="E434" t="str">
        <f xml:space="preserve"> A434 &amp; " Q" &amp; B434</f>
        <v>2014 Q4</v>
      </c>
      <c r="F434" s="2">
        <f>DATE(A434, (B434-1)*3 + 1, 1)</f>
        <v>41913</v>
      </c>
    </row>
    <row r="435" spans="1:6" x14ac:dyDescent="0.3">
      <c r="A435">
        <v>2014</v>
      </c>
      <c r="B435">
        <v>4</v>
      </c>
      <c r="C435" t="s">
        <v>15</v>
      </c>
      <c r="D435">
        <v>87967000</v>
      </c>
      <c r="E435" t="str">
        <f xml:space="preserve"> A435 &amp; " Q" &amp; B435</f>
        <v>2014 Q4</v>
      </c>
      <c r="F435" s="2">
        <f>DATE(A435, (B435-1)*3 + 1, 1)</f>
        <v>41913</v>
      </c>
    </row>
    <row r="436" spans="1:6" x14ac:dyDescent="0.3">
      <c r="A436">
        <v>2014</v>
      </c>
      <c r="B436">
        <v>4</v>
      </c>
      <c r="C436" t="s">
        <v>16</v>
      </c>
      <c r="D436">
        <v>85225000</v>
      </c>
      <c r="E436" t="str">
        <f xml:space="preserve"> A436 &amp; " Q" &amp; B436</f>
        <v>2014 Q4</v>
      </c>
      <c r="F436" s="2">
        <f>DATE(A436, (B436-1)*3 + 1, 1)</f>
        <v>41913</v>
      </c>
    </row>
    <row r="437" spans="1:6" x14ac:dyDescent="0.3">
      <c r="A437">
        <v>2014</v>
      </c>
      <c r="B437">
        <v>4</v>
      </c>
      <c r="C437" t="s">
        <v>20</v>
      </c>
      <c r="D437">
        <v>164383000</v>
      </c>
      <c r="E437" t="str">
        <f xml:space="preserve"> A437 &amp; " Q" &amp; B437</f>
        <v>2014 Q4</v>
      </c>
      <c r="F437" s="2">
        <f>DATE(A437, (B437-1)*3 + 1, 1)</f>
        <v>41913</v>
      </c>
    </row>
    <row r="438" spans="1:6" x14ac:dyDescent="0.3">
      <c r="A438">
        <v>2014</v>
      </c>
      <c r="B438">
        <v>4</v>
      </c>
      <c r="C438" t="s">
        <v>17</v>
      </c>
      <c r="D438">
        <v>189949000</v>
      </c>
      <c r="E438" t="str">
        <f xml:space="preserve"> A438 &amp; " Q" &amp; B438</f>
        <v>2014 Q4</v>
      </c>
      <c r="F438" s="2">
        <f>DATE(A438, (B438-1)*3 + 1, 1)</f>
        <v>41913</v>
      </c>
    </row>
    <row r="439" spans="1:6" x14ac:dyDescent="0.3">
      <c r="A439">
        <v>2015</v>
      </c>
      <c r="B439">
        <v>1</v>
      </c>
      <c r="C439" t="s">
        <v>4</v>
      </c>
      <c r="D439">
        <v>333871000</v>
      </c>
      <c r="E439" t="str">
        <f xml:space="preserve"> A439 &amp; " Q" &amp; B439</f>
        <v>2015 Q1</v>
      </c>
      <c r="F439" s="2">
        <f>DATE(A439, (B439-1)*3 + 1, 1)</f>
        <v>42005</v>
      </c>
    </row>
    <row r="440" spans="1:6" x14ac:dyDescent="0.3">
      <c r="A440">
        <v>2015</v>
      </c>
      <c r="B440">
        <v>1</v>
      </c>
      <c r="C440" t="s">
        <v>5</v>
      </c>
      <c r="D440">
        <v>775994000</v>
      </c>
      <c r="E440" t="str">
        <f xml:space="preserve"> A440 &amp; " Q" &amp; B440</f>
        <v>2015 Q1</v>
      </c>
      <c r="F440" s="2">
        <f>DATE(A440, (B440-1)*3 + 1, 1)</f>
        <v>42005</v>
      </c>
    </row>
    <row r="441" spans="1:6" x14ac:dyDescent="0.3">
      <c r="A441">
        <v>2015</v>
      </c>
      <c r="B441">
        <v>1</v>
      </c>
      <c r="C441" t="s">
        <v>18</v>
      </c>
      <c r="D441">
        <v>202783000</v>
      </c>
      <c r="E441" t="str">
        <f xml:space="preserve"> A441 &amp; " Q" &amp; B441</f>
        <v>2015 Q1</v>
      </c>
      <c r="F441" s="2">
        <f>DATE(A441, (B441-1)*3 + 1, 1)</f>
        <v>42005</v>
      </c>
    </row>
    <row r="442" spans="1:6" x14ac:dyDescent="0.3">
      <c r="A442">
        <v>2015</v>
      </c>
      <c r="B442">
        <v>1</v>
      </c>
      <c r="C442" t="s">
        <v>19</v>
      </c>
      <c r="D442">
        <v>42272000</v>
      </c>
      <c r="E442" t="str">
        <f xml:space="preserve"> A442 &amp; " Q" &amp; B442</f>
        <v>2015 Q1</v>
      </c>
      <c r="F442" s="2">
        <f>DATE(A442, (B442-1)*3 + 1, 1)</f>
        <v>42005</v>
      </c>
    </row>
    <row r="443" spans="1:6" x14ac:dyDescent="0.3">
      <c r="A443">
        <v>2015</v>
      </c>
      <c r="B443">
        <v>1</v>
      </c>
      <c r="C443" t="s">
        <v>7</v>
      </c>
      <c r="D443">
        <v>219502000</v>
      </c>
      <c r="E443" t="str">
        <f xml:space="preserve"> A443 &amp; " Q" &amp; B443</f>
        <v>2015 Q1</v>
      </c>
      <c r="F443" s="2">
        <f>DATE(A443, (B443-1)*3 + 1, 1)</f>
        <v>42005</v>
      </c>
    </row>
    <row r="444" spans="1:6" x14ac:dyDescent="0.3">
      <c r="A444">
        <v>2015</v>
      </c>
      <c r="B444">
        <v>1</v>
      </c>
      <c r="C444" t="s">
        <v>8</v>
      </c>
      <c r="D444">
        <v>124919000</v>
      </c>
      <c r="E444" t="str">
        <f xml:space="preserve"> A444 &amp; " Q" &amp; B444</f>
        <v>2015 Q1</v>
      </c>
      <c r="F444" s="2">
        <f>DATE(A444, (B444-1)*3 + 1, 1)</f>
        <v>42005</v>
      </c>
    </row>
    <row r="445" spans="1:6" x14ac:dyDescent="0.3">
      <c r="A445">
        <v>2015</v>
      </c>
      <c r="B445">
        <v>1</v>
      </c>
      <c r="C445" t="s">
        <v>9</v>
      </c>
      <c r="D445">
        <v>433030000</v>
      </c>
      <c r="E445" t="str">
        <f xml:space="preserve"> A445 &amp; " Q" &amp; B445</f>
        <v>2015 Q1</v>
      </c>
      <c r="F445" s="2">
        <f>DATE(A445, (B445-1)*3 + 1, 1)</f>
        <v>42005</v>
      </c>
    </row>
    <row r="446" spans="1:6" x14ac:dyDescent="0.3">
      <c r="A446">
        <v>2015</v>
      </c>
      <c r="B446">
        <v>1</v>
      </c>
      <c r="C446" t="s">
        <v>10</v>
      </c>
      <c r="D446">
        <v>11133000</v>
      </c>
      <c r="E446" t="str">
        <f xml:space="preserve"> A446 &amp; " Q" &amp; B446</f>
        <v>2015 Q1</v>
      </c>
      <c r="F446" s="2">
        <f>DATE(A446, (B446-1)*3 + 1, 1)</f>
        <v>42005</v>
      </c>
    </row>
    <row r="447" spans="1:6" x14ac:dyDescent="0.3">
      <c r="A447">
        <v>2015</v>
      </c>
      <c r="B447">
        <v>1</v>
      </c>
      <c r="C447" t="s">
        <v>11</v>
      </c>
      <c r="D447">
        <v>59708000</v>
      </c>
      <c r="E447" t="str">
        <f xml:space="preserve"> A447 &amp; " Q" &amp; B447</f>
        <v>2015 Q1</v>
      </c>
      <c r="F447" s="2">
        <f>DATE(A447, (B447-1)*3 + 1, 1)</f>
        <v>42005</v>
      </c>
    </row>
    <row r="448" spans="1:6" x14ac:dyDescent="0.3">
      <c r="A448">
        <v>2015</v>
      </c>
      <c r="B448">
        <v>1</v>
      </c>
      <c r="C448" t="s">
        <v>12</v>
      </c>
      <c r="D448">
        <v>339280000</v>
      </c>
      <c r="E448" t="str">
        <f xml:space="preserve"> A448 &amp; " Q" &amp; B448</f>
        <v>2015 Q1</v>
      </c>
      <c r="F448" s="2">
        <f>DATE(A448, (B448-1)*3 + 1, 1)</f>
        <v>42005</v>
      </c>
    </row>
    <row r="449" spans="1:6" x14ac:dyDescent="0.3">
      <c r="A449">
        <v>2015</v>
      </c>
      <c r="B449">
        <v>1</v>
      </c>
      <c r="C449" t="s">
        <v>13</v>
      </c>
      <c r="D449">
        <v>31148000</v>
      </c>
      <c r="E449" t="str">
        <f xml:space="preserve"> A449 &amp; " Q" &amp; B449</f>
        <v>2015 Q1</v>
      </c>
      <c r="F449" s="2">
        <f>DATE(A449, (B449-1)*3 + 1, 1)</f>
        <v>42005</v>
      </c>
    </row>
    <row r="450" spans="1:6" x14ac:dyDescent="0.3">
      <c r="A450">
        <v>2015</v>
      </c>
      <c r="B450">
        <v>1</v>
      </c>
      <c r="C450" t="s">
        <v>14</v>
      </c>
      <c r="D450">
        <v>209631000</v>
      </c>
      <c r="E450" t="str">
        <f xml:space="preserve"> A450 &amp; " Q" &amp; B450</f>
        <v>2015 Q1</v>
      </c>
      <c r="F450" s="2">
        <f>DATE(A450, (B450-1)*3 + 1, 1)</f>
        <v>42005</v>
      </c>
    </row>
    <row r="451" spans="1:6" x14ac:dyDescent="0.3">
      <c r="A451">
        <v>2015</v>
      </c>
      <c r="B451">
        <v>1</v>
      </c>
      <c r="C451" t="s">
        <v>15</v>
      </c>
      <c r="D451">
        <v>88637000</v>
      </c>
      <c r="E451" t="str">
        <f xml:space="preserve"> A451 &amp; " Q" &amp; B451</f>
        <v>2015 Q1</v>
      </c>
      <c r="F451" s="2">
        <f>DATE(A451, (B451-1)*3 + 1, 1)</f>
        <v>42005</v>
      </c>
    </row>
    <row r="452" spans="1:6" x14ac:dyDescent="0.3">
      <c r="A452">
        <v>2015</v>
      </c>
      <c r="B452">
        <v>1</v>
      </c>
      <c r="C452" t="s">
        <v>16</v>
      </c>
      <c r="D452">
        <v>94442000</v>
      </c>
      <c r="E452" t="str">
        <f xml:space="preserve"> A452 &amp; " Q" &amp; B452</f>
        <v>2015 Q1</v>
      </c>
      <c r="F452" s="2">
        <f>DATE(A452, (B452-1)*3 + 1, 1)</f>
        <v>42005</v>
      </c>
    </row>
    <row r="453" spans="1:6" x14ac:dyDescent="0.3">
      <c r="A453">
        <v>2015</v>
      </c>
      <c r="B453">
        <v>1</v>
      </c>
      <c r="C453" t="s">
        <v>20</v>
      </c>
      <c r="D453">
        <v>150149000</v>
      </c>
      <c r="E453" t="str">
        <f xml:space="preserve"> A453 &amp; " Q" &amp; B453</f>
        <v>2015 Q1</v>
      </c>
      <c r="F453" s="2">
        <f>DATE(A453, (B453-1)*3 + 1, 1)</f>
        <v>42005</v>
      </c>
    </row>
    <row r="454" spans="1:6" x14ac:dyDescent="0.3">
      <c r="A454">
        <v>2015</v>
      </c>
      <c r="B454">
        <v>1</v>
      </c>
      <c r="C454" t="s">
        <v>17</v>
      </c>
      <c r="D454">
        <v>174774000</v>
      </c>
      <c r="E454" t="str">
        <f xml:space="preserve"> A454 &amp; " Q" &amp; B454</f>
        <v>2015 Q1</v>
      </c>
      <c r="F454" s="2">
        <f>DATE(A454, (B454-1)*3 + 1, 1)</f>
        <v>42005</v>
      </c>
    </row>
    <row r="455" spans="1:6" x14ac:dyDescent="0.3">
      <c r="A455">
        <v>2015</v>
      </c>
      <c r="B455">
        <v>2</v>
      </c>
      <c r="C455" t="s">
        <v>4</v>
      </c>
      <c r="D455">
        <v>399131000</v>
      </c>
      <c r="E455" t="str">
        <f xml:space="preserve"> A455 &amp; " Q" &amp; B455</f>
        <v>2015 Q2</v>
      </c>
      <c r="F455" s="2">
        <f>DATE(A455, (B455-1)*3 + 1, 1)</f>
        <v>42095</v>
      </c>
    </row>
    <row r="456" spans="1:6" x14ac:dyDescent="0.3">
      <c r="A456">
        <v>2015</v>
      </c>
      <c r="B456">
        <v>2</v>
      </c>
      <c r="C456" t="s">
        <v>5</v>
      </c>
      <c r="D456">
        <v>849884000</v>
      </c>
      <c r="E456" t="str">
        <f xml:space="preserve"> A456 &amp; " Q" &amp; B456</f>
        <v>2015 Q2</v>
      </c>
      <c r="F456" s="2">
        <f>DATE(A456, (B456-1)*3 + 1, 1)</f>
        <v>42095</v>
      </c>
    </row>
    <row r="457" spans="1:6" x14ac:dyDescent="0.3">
      <c r="A457">
        <v>2015</v>
      </c>
      <c r="B457">
        <v>2</v>
      </c>
      <c r="C457" t="s">
        <v>18</v>
      </c>
      <c r="D457">
        <v>224158000</v>
      </c>
      <c r="E457" t="str">
        <f xml:space="preserve"> A457 &amp; " Q" &amp; B457</f>
        <v>2015 Q2</v>
      </c>
      <c r="F457" s="2">
        <f>DATE(A457, (B457-1)*3 + 1, 1)</f>
        <v>42095</v>
      </c>
    </row>
    <row r="458" spans="1:6" x14ac:dyDescent="0.3">
      <c r="A458">
        <v>2015</v>
      </c>
      <c r="B458">
        <v>2</v>
      </c>
      <c r="C458" t="s">
        <v>19</v>
      </c>
      <c r="D458">
        <v>46717000</v>
      </c>
      <c r="E458" t="str">
        <f xml:space="preserve"> A458 &amp; " Q" &amp; B458</f>
        <v>2015 Q2</v>
      </c>
      <c r="F458" s="2">
        <f>DATE(A458, (B458-1)*3 + 1, 1)</f>
        <v>42095</v>
      </c>
    </row>
    <row r="459" spans="1:6" x14ac:dyDescent="0.3">
      <c r="A459">
        <v>2015</v>
      </c>
      <c r="B459">
        <v>2</v>
      </c>
      <c r="C459" t="s">
        <v>7</v>
      </c>
      <c r="D459">
        <v>248344000</v>
      </c>
      <c r="E459" t="str">
        <f xml:space="preserve"> A459 &amp; " Q" &amp; B459</f>
        <v>2015 Q2</v>
      </c>
      <c r="F459" s="2">
        <f>DATE(A459, (B459-1)*3 + 1, 1)</f>
        <v>42095</v>
      </c>
    </row>
    <row r="460" spans="1:6" x14ac:dyDescent="0.3">
      <c r="A460">
        <v>2015</v>
      </c>
      <c r="B460">
        <v>2</v>
      </c>
      <c r="C460" t="s">
        <v>8</v>
      </c>
      <c r="D460">
        <v>142661000</v>
      </c>
      <c r="E460" t="str">
        <f xml:space="preserve"> A460 &amp; " Q" &amp; B460</f>
        <v>2015 Q2</v>
      </c>
      <c r="F460" s="2">
        <f>DATE(A460, (B460-1)*3 + 1, 1)</f>
        <v>42095</v>
      </c>
    </row>
    <row r="461" spans="1:6" x14ac:dyDescent="0.3">
      <c r="A461">
        <v>2015</v>
      </c>
      <c r="B461">
        <v>2</v>
      </c>
      <c r="C461" t="s">
        <v>9</v>
      </c>
      <c r="D461">
        <v>465224000</v>
      </c>
      <c r="E461" t="str">
        <f xml:space="preserve"> A461 &amp; " Q" &amp; B461</f>
        <v>2015 Q2</v>
      </c>
      <c r="F461" s="2">
        <f>DATE(A461, (B461-1)*3 + 1, 1)</f>
        <v>42095</v>
      </c>
    </row>
    <row r="462" spans="1:6" x14ac:dyDescent="0.3">
      <c r="A462">
        <v>2015</v>
      </c>
      <c r="B462">
        <v>2</v>
      </c>
      <c r="C462" t="s">
        <v>10</v>
      </c>
      <c r="D462">
        <v>12722000</v>
      </c>
      <c r="E462" t="str">
        <f xml:space="preserve"> A462 &amp; " Q" &amp; B462</f>
        <v>2015 Q2</v>
      </c>
      <c r="F462" s="2">
        <f>DATE(A462, (B462-1)*3 + 1, 1)</f>
        <v>42095</v>
      </c>
    </row>
    <row r="463" spans="1:6" x14ac:dyDescent="0.3">
      <c r="A463">
        <v>2015</v>
      </c>
      <c r="B463">
        <v>2</v>
      </c>
      <c r="C463" t="s">
        <v>11</v>
      </c>
      <c r="D463">
        <v>65984000</v>
      </c>
      <c r="E463" t="str">
        <f xml:space="preserve"> A463 &amp; " Q" &amp; B463</f>
        <v>2015 Q2</v>
      </c>
      <c r="F463" s="2">
        <f>DATE(A463, (B463-1)*3 + 1, 1)</f>
        <v>42095</v>
      </c>
    </row>
    <row r="464" spans="1:6" x14ac:dyDescent="0.3">
      <c r="A464">
        <v>2015</v>
      </c>
      <c r="B464">
        <v>2</v>
      </c>
      <c r="C464" t="s">
        <v>12</v>
      </c>
      <c r="D464">
        <v>378957000</v>
      </c>
      <c r="E464" t="str">
        <f xml:space="preserve"> A464 &amp; " Q" &amp; B464</f>
        <v>2015 Q2</v>
      </c>
      <c r="F464" s="2">
        <f>DATE(A464, (B464-1)*3 + 1, 1)</f>
        <v>42095</v>
      </c>
    </row>
    <row r="465" spans="1:6" x14ac:dyDescent="0.3">
      <c r="A465">
        <v>2015</v>
      </c>
      <c r="B465">
        <v>2</v>
      </c>
      <c r="C465" t="s">
        <v>13</v>
      </c>
      <c r="D465">
        <v>33738000</v>
      </c>
      <c r="E465" t="str">
        <f xml:space="preserve"> A465 &amp; " Q" &amp; B465</f>
        <v>2015 Q2</v>
      </c>
      <c r="F465" s="2">
        <f>DATE(A465, (B465-1)*3 + 1, 1)</f>
        <v>42095</v>
      </c>
    </row>
    <row r="466" spans="1:6" x14ac:dyDescent="0.3">
      <c r="A466">
        <v>2015</v>
      </c>
      <c r="B466">
        <v>2</v>
      </c>
      <c r="C466" t="s">
        <v>14</v>
      </c>
      <c r="D466">
        <v>223306000</v>
      </c>
      <c r="E466" t="str">
        <f xml:space="preserve"> A466 &amp; " Q" &amp; B466</f>
        <v>2015 Q2</v>
      </c>
      <c r="F466" s="2">
        <f>DATE(A466, (B466-1)*3 + 1, 1)</f>
        <v>42095</v>
      </c>
    </row>
    <row r="467" spans="1:6" x14ac:dyDescent="0.3">
      <c r="A467">
        <v>2015</v>
      </c>
      <c r="B467">
        <v>2</v>
      </c>
      <c r="C467" t="s">
        <v>15</v>
      </c>
      <c r="D467">
        <v>94043000</v>
      </c>
      <c r="E467" t="str">
        <f xml:space="preserve"> A467 &amp; " Q" &amp; B467</f>
        <v>2015 Q2</v>
      </c>
      <c r="F467" s="2">
        <f>DATE(A467, (B467-1)*3 + 1, 1)</f>
        <v>42095</v>
      </c>
    </row>
    <row r="468" spans="1:6" x14ac:dyDescent="0.3">
      <c r="A468">
        <v>2015</v>
      </c>
      <c r="B468">
        <v>2</v>
      </c>
      <c r="C468" t="s">
        <v>16</v>
      </c>
      <c r="D468">
        <v>99510000</v>
      </c>
      <c r="E468" t="str">
        <f xml:space="preserve"> A468 &amp; " Q" &amp; B468</f>
        <v>2015 Q2</v>
      </c>
      <c r="F468" s="2">
        <f>DATE(A468, (B468-1)*3 + 1, 1)</f>
        <v>42095</v>
      </c>
    </row>
    <row r="469" spans="1:6" x14ac:dyDescent="0.3">
      <c r="A469">
        <v>2015</v>
      </c>
      <c r="B469">
        <v>2</v>
      </c>
      <c r="C469" t="s">
        <v>20</v>
      </c>
      <c r="D469">
        <v>160684000</v>
      </c>
      <c r="E469" t="str">
        <f xml:space="preserve"> A469 &amp; " Q" &amp; B469</f>
        <v>2015 Q2</v>
      </c>
      <c r="F469" s="2">
        <f>DATE(A469, (B469-1)*3 + 1, 1)</f>
        <v>42095</v>
      </c>
    </row>
    <row r="470" spans="1:6" x14ac:dyDescent="0.3">
      <c r="A470">
        <v>2015</v>
      </c>
      <c r="B470">
        <v>2</v>
      </c>
      <c r="C470" t="s">
        <v>17</v>
      </c>
      <c r="D470">
        <v>197771000</v>
      </c>
      <c r="E470" t="str">
        <f xml:space="preserve"> A470 &amp; " Q" &amp; B470</f>
        <v>2015 Q2</v>
      </c>
      <c r="F470" s="2">
        <f>DATE(A470, (B470-1)*3 + 1, 1)</f>
        <v>42095</v>
      </c>
    </row>
    <row r="471" spans="1:6" x14ac:dyDescent="0.3">
      <c r="A471">
        <v>2015</v>
      </c>
      <c r="B471">
        <v>3</v>
      </c>
      <c r="C471" t="s">
        <v>4</v>
      </c>
      <c r="D471">
        <v>404160000</v>
      </c>
      <c r="E471" t="str">
        <f xml:space="preserve"> A471 &amp; " Q" &amp; B471</f>
        <v>2015 Q3</v>
      </c>
      <c r="F471" s="2">
        <f>DATE(A471, (B471-1)*3 + 1, 1)</f>
        <v>42186</v>
      </c>
    </row>
    <row r="472" spans="1:6" x14ac:dyDescent="0.3">
      <c r="A472">
        <v>2015</v>
      </c>
      <c r="B472">
        <v>3</v>
      </c>
      <c r="C472" t="s">
        <v>5</v>
      </c>
      <c r="D472">
        <v>916910000</v>
      </c>
      <c r="E472" t="str">
        <f xml:space="preserve"> A472 &amp; " Q" &amp; B472</f>
        <v>2015 Q3</v>
      </c>
      <c r="F472" s="2">
        <f>DATE(A472, (B472-1)*3 + 1, 1)</f>
        <v>42186</v>
      </c>
    </row>
    <row r="473" spans="1:6" x14ac:dyDescent="0.3">
      <c r="A473">
        <v>2015</v>
      </c>
      <c r="B473">
        <v>3</v>
      </c>
      <c r="C473" t="s">
        <v>18</v>
      </c>
      <c r="D473">
        <v>237226000</v>
      </c>
      <c r="E473" t="str">
        <f xml:space="preserve"> A473 &amp; " Q" &amp; B473</f>
        <v>2015 Q3</v>
      </c>
      <c r="F473" s="2">
        <f>DATE(A473, (B473-1)*3 + 1, 1)</f>
        <v>42186</v>
      </c>
    </row>
    <row r="474" spans="1:6" x14ac:dyDescent="0.3">
      <c r="A474">
        <v>2015</v>
      </c>
      <c r="B474">
        <v>3</v>
      </c>
      <c r="C474" t="s">
        <v>19</v>
      </c>
      <c r="D474">
        <v>52778000</v>
      </c>
      <c r="E474" t="str">
        <f xml:space="preserve"> A474 &amp; " Q" &amp; B474</f>
        <v>2015 Q3</v>
      </c>
      <c r="F474" s="2">
        <f>DATE(A474, (B474-1)*3 + 1, 1)</f>
        <v>42186</v>
      </c>
    </row>
    <row r="475" spans="1:6" x14ac:dyDescent="0.3">
      <c r="A475">
        <v>2015</v>
      </c>
      <c r="B475">
        <v>3</v>
      </c>
      <c r="C475" t="s">
        <v>7</v>
      </c>
      <c r="D475">
        <v>249455000</v>
      </c>
      <c r="E475" t="str">
        <f xml:space="preserve"> A475 &amp; " Q" &amp; B475</f>
        <v>2015 Q3</v>
      </c>
      <c r="F475" s="2">
        <f>DATE(A475, (B475-1)*3 + 1, 1)</f>
        <v>42186</v>
      </c>
    </row>
    <row r="476" spans="1:6" x14ac:dyDescent="0.3">
      <c r="A476">
        <v>2015</v>
      </c>
      <c r="B476">
        <v>3</v>
      </c>
      <c r="C476" t="s">
        <v>8</v>
      </c>
      <c r="D476">
        <v>167915000</v>
      </c>
      <c r="E476" t="str">
        <f xml:space="preserve"> A476 &amp; " Q" &amp; B476</f>
        <v>2015 Q3</v>
      </c>
      <c r="F476" s="2">
        <f>DATE(A476, (B476-1)*3 + 1, 1)</f>
        <v>42186</v>
      </c>
    </row>
    <row r="477" spans="1:6" x14ac:dyDescent="0.3">
      <c r="A477">
        <v>2015</v>
      </c>
      <c r="B477">
        <v>3</v>
      </c>
      <c r="C477" t="s">
        <v>9</v>
      </c>
      <c r="D477">
        <v>506447000</v>
      </c>
      <c r="E477" t="str">
        <f xml:space="preserve"> A477 &amp; " Q" &amp; B477</f>
        <v>2015 Q3</v>
      </c>
      <c r="F477" s="2">
        <f>DATE(A477, (B477-1)*3 + 1, 1)</f>
        <v>42186</v>
      </c>
    </row>
    <row r="478" spans="1:6" x14ac:dyDescent="0.3">
      <c r="A478">
        <v>2015</v>
      </c>
      <c r="B478">
        <v>3</v>
      </c>
      <c r="C478" t="s">
        <v>10</v>
      </c>
      <c r="D478">
        <v>13905000</v>
      </c>
      <c r="E478" t="str">
        <f xml:space="preserve"> A478 &amp; " Q" &amp; B478</f>
        <v>2015 Q3</v>
      </c>
      <c r="F478" s="2">
        <f>DATE(A478, (B478-1)*3 + 1, 1)</f>
        <v>42186</v>
      </c>
    </row>
    <row r="479" spans="1:6" x14ac:dyDescent="0.3">
      <c r="A479">
        <v>2015</v>
      </c>
      <c r="B479">
        <v>3</v>
      </c>
      <c r="C479" t="s">
        <v>11</v>
      </c>
      <c r="D479">
        <v>71474000</v>
      </c>
      <c r="E479" t="str">
        <f xml:space="preserve"> A479 &amp; " Q" &amp; B479</f>
        <v>2015 Q3</v>
      </c>
      <c r="F479" s="2">
        <f>DATE(A479, (B479-1)*3 + 1, 1)</f>
        <v>42186</v>
      </c>
    </row>
    <row r="480" spans="1:6" x14ac:dyDescent="0.3">
      <c r="A480">
        <v>2015</v>
      </c>
      <c r="B480">
        <v>3</v>
      </c>
      <c r="C480" t="s">
        <v>12</v>
      </c>
      <c r="D480">
        <v>415789000</v>
      </c>
      <c r="E480" t="str">
        <f xml:space="preserve"> A480 &amp; " Q" &amp; B480</f>
        <v>2015 Q3</v>
      </c>
      <c r="F480" s="2">
        <f>DATE(A480, (B480-1)*3 + 1, 1)</f>
        <v>42186</v>
      </c>
    </row>
    <row r="481" spans="1:6" x14ac:dyDescent="0.3">
      <c r="A481">
        <v>2015</v>
      </c>
      <c r="B481">
        <v>3</v>
      </c>
      <c r="C481" t="s">
        <v>13</v>
      </c>
      <c r="D481">
        <v>36524000</v>
      </c>
      <c r="E481" t="str">
        <f xml:space="preserve"> A481 &amp; " Q" &amp; B481</f>
        <v>2015 Q3</v>
      </c>
      <c r="F481" s="2">
        <f>DATE(A481, (B481-1)*3 + 1, 1)</f>
        <v>42186</v>
      </c>
    </row>
    <row r="482" spans="1:6" x14ac:dyDescent="0.3">
      <c r="A482">
        <v>2015</v>
      </c>
      <c r="B482">
        <v>3</v>
      </c>
      <c r="C482" t="s">
        <v>14</v>
      </c>
      <c r="D482">
        <v>254019000</v>
      </c>
      <c r="E482" t="str">
        <f xml:space="preserve"> A482 &amp; " Q" &amp; B482</f>
        <v>2015 Q3</v>
      </c>
      <c r="F482" s="2">
        <f>DATE(A482, (B482-1)*3 + 1, 1)</f>
        <v>42186</v>
      </c>
    </row>
    <row r="483" spans="1:6" x14ac:dyDescent="0.3">
      <c r="A483">
        <v>2015</v>
      </c>
      <c r="B483">
        <v>3</v>
      </c>
      <c r="C483" t="s">
        <v>15</v>
      </c>
      <c r="D483">
        <v>99615000</v>
      </c>
      <c r="E483" t="str">
        <f xml:space="preserve"> A483 &amp; " Q" &amp; B483</f>
        <v>2015 Q3</v>
      </c>
      <c r="F483" s="2">
        <f>DATE(A483, (B483-1)*3 + 1, 1)</f>
        <v>42186</v>
      </c>
    </row>
    <row r="484" spans="1:6" x14ac:dyDescent="0.3">
      <c r="A484">
        <v>2015</v>
      </c>
      <c r="B484">
        <v>3</v>
      </c>
      <c r="C484" t="s">
        <v>16</v>
      </c>
      <c r="D484">
        <v>104210000</v>
      </c>
      <c r="E484" t="str">
        <f xml:space="preserve"> A484 &amp; " Q" &amp; B484</f>
        <v>2015 Q3</v>
      </c>
      <c r="F484" s="2">
        <f>DATE(A484, (B484-1)*3 + 1, 1)</f>
        <v>42186</v>
      </c>
    </row>
    <row r="485" spans="1:6" x14ac:dyDescent="0.3">
      <c r="A485">
        <v>2015</v>
      </c>
      <c r="B485">
        <v>3</v>
      </c>
      <c r="C485" t="s">
        <v>20</v>
      </c>
      <c r="D485">
        <v>175061000</v>
      </c>
      <c r="E485" t="str">
        <f xml:space="preserve"> A485 &amp; " Q" &amp; B485</f>
        <v>2015 Q3</v>
      </c>
      <c r="F485" s="2">
        <f>DATE(A485, (B485-1)*3 + 1, 1)</f>
        <v>42186</v>
      </c>
    </row>
    <row r="486" spans="1:6" x14ac:dyDescent="0.3">
      <c r="A486">
        <v>2015</v>
      </c>
      <c r="B486">
        <v>3</v>
      </c>
      <c r="C486" t="s">
        <v>17</v>
      </c>
      <c r="D486">
        <v>210952000</v>
      </c>
      <c r="E486" t="str">
        <f xml:space="preserve"> A486 &amp; " Q" &amp; B486</f>
        <v>2015 Q3</v>
      </c>
      <c r="F486" s="2">
        <f>DATE(A486, (B486-1)*3 + 1, 1)</f>
        <v>42186</v>
      </c>
    </row>
    <row r="487" spans="1:6" x14ac:dyDescent="0.3">
      <c r="A487">
        <v>2015</v>
      </c>
      <c r="B487">
        <v>4</v>
      </c>
      <c r="C487" t="s">
        <v>4</v>
      </c>
      <c r="D487">
        <v>374341000</v>
      </c>
      <c r="E487" t="str">
        <f xml:space="preserve"> A487 &amp; " Q" &amp; B487</f>
        <v>2015 Q4</v>
      </c>
      <c r="F487" s="2">
        <f>DATE(A487, (B487-1)*3 + 1, 1)</f>
        <v>42278</v>
      </c>
    </row>
    <row r="488" spans="1:6" x14ac:dyDescent="0.3">
      <c r="A488">
        <v>2015</v>
      </c>
      <c r="B488">
        <v>4</v>
      </c>
      <c r="C488" t="s">
        <v>5</v>
      </c>
      <c r="D488">
        <v>865649000</v>
      </c>
      <c r="E488" t="str">
        <f xml:space="preserve"> A488 &amp; " Q" &amp; B488</f>
        <v>2015 Q4</v>
      </c>
      <c r="F488" s="2">
        <f>DATE(A488, (B488-1)*3 + 1, 1)</f>
        <v>42278</v>
      </c>
    </row>
    <row r="489" spans="1:6" x14ac:dyDescent="0.3">
      <c r="A489">
        <v>2015</v>
      </c>
      <c r="B489">
        <v>4</v>
      </c>
      <c r="C489" t="s">
        <v>18</v>
      </c>
      <c r="D489">
        <v>228883000</v>
      </c>
      <c r="E489" t="str">
        <f xml:space="preserve"> A489 &amp; " Q" &amp; B489</f>
        <v>2015 Q4</v>
      </c>
      <c r="F489" s="2">
        <f>DATE(A489, (B489-1)*3 + 1, 1)</f>
        <v>42278</v>
      </c>
    </row>
    <row r="490" spans="1:6" x14ac:dyDescent="0.3">
      <c r="A490">
        <v>2015</v>
      </c>
      <c r="B490">
        <v>4</v>
      </c>
      <c r="C490" t="s">
        <v>19</v>
      </c>
      <c r="D490">
        <v>44678000</v>
      </c>
      <c r="E490" t="str">
        <f xml:space="preserve"> A490 &amp; " Q" &amp; B490</f>
        <v>2015 Q4</v>
      </c>
      <c r="F490" s="2">
        <f>DATE(A490, (B490-1)*3 + 1, 1)</f>
        <v>42278</v>
      </c>
    </row>
    <row r="491" spans="1:6" x14ac:dyDescent="0.3">
      <c r="A491">
        <v>2015</v>
      </c>
      <c r="B491">
        <v>4</v>
      </c>
      <c r="C491" t="s">
        <v>7</v>
      </c>
      <c r="D491">
        <v>226359000</v>
      </c>
      <c r="E491" t="str">
        <f xml:space="preserve"> A491 &amp; " Q" &amp; B491</f>
        <v>2015 Q4</v>
      </c>
      <c r="F491" s="2">
        <f>DATE(A491, (B491-1)*3 + 1, 1)</f>
        <v>42278</v>
      </c>
    </row>
    <row r="492" spans="1:6" x14ac:dyDescent="0.3">
      <c r="A492">
        <v>2015</v>
      </c>
      <c r="B492">
        <v>4</v>
      </c>
      <c r="C492" t="s">
        <v>8</v>
      </c>
      <c r="D492">
        <v>161211000</v>
      </c>
      <c r="E492" t="str">
        <f xml:space="preserve"> A492 &amp; " Q" &amp; B492</f>
        <v>2015 Q4</v>
      </c>
      <c r="F492" s="2">
        <f>DATE(A492, (B492-1)*3 + 1, 1)</f>
        <v>42278</v>
      </c>
    </row>
    <row r="493" spans="1:6" x14ac:dyDescent="0.3">
      <c r="A493">
        <v>2015</v>
      </c>
      <c r="B493">
        <v>4</v>
      </c>
      <c r="C493" t="s">
        <v>9</v>
      </c>
      <c r="D493">
        <v>474267000</v>
      </c>
      <c r="E493" t="str">
        <f xml:space="preserve"> A493 &amp; " Q" &amp; B493</f>
        <v>2015 Q4</v>
      </c>
      <c r="F493" s="2">
        <f>DATE(A493, (B493-1)*3 + 1, 1)</f>
        <v>42278</v>
      </c>
    </row>
    <row r="494" spans="1:6" x14ac:dyDescent="0.3">
      <c r="A494">
        <v>2015</v>
      </c>
      <c r="B494">
        <v>4</v>
      </c>
      <c r="C494" t="s">
        <v>10</v>
      </c>
      <c r="D494">
        <v>12039000</v>
      </c>
      <c r="E494" t="str">
        <f xml:space="preserve"> A494 &amp; " Q" &amp; B494</f>
        <v>2015 Q4</v>
      </c>
      <c r="F494" s="2">
        <f>DATE(A494, (B494-1)*3 + 1, 1)</f>
        <v>42278</v>
      </c>
    </row>
    <row r="495" spans="1:6" x14ac:dyDescent="0.3">
      <c r="A495">
        <v>2015</v>
      </c>
      <c r="B495">
        <v>4</v>
      </c>
      <c r="C495" t="s">
        <v>11</v>
      </c>
      <c r="D495">
        <v>67262000</v>
      </c>
      <c r="E495" t="str">
        <f xml:space="preserve"> A495 &amp; " Q" &amp; B495</f>
        <v>2015 Q4</v>
      </c>
      <c r="F495" s="2">
        <f>DATE(A495, (B495-1)*3 + 1, 1)</f>
        <v>42278</v>
      </c>
    </row>
    <row r="496" spans="1:6" x14ac:dyDescent="0.3">
      <c r="A496">
        <v>2015</v>
      </c>
      <c r="B496">
        <v>4</v>
      </c>
      <c r="C496" t="s">
        <v>12</v>
      </c>
      <c r="D496">
        <v>388977000</v>
      </c>
      <c r="E496" t="str">
        <f xml:space="preserve"> A496 &amp; " Q" &amp; B496</f>
        <v>2015 Q4</v>
      </c>
      <c r="F496" s="2">
        <f>DATE(A496, (B496-1)*3 + 1, 1)</f>
        <v>42278</v>
      </c>
    </row>
    <row r="497" spans="1:6" x14ac:dyDescent="0.3">
      <c r="A497">
        <v>2015</v>
      </c>
      <c r="B497">
        <v>4</v>
      </c>
      <c r="C497" t="s">
        <v>13</v>
      </c>
      <c r="D497">
        <v>35742000</v>
      </c>
      <c r="E497" t="str">
        <f xml:space="preserve"> A497 &amp; " Q" &amp; B497</f>
        <v>2015 Q4</v>
      </c>
      <c r="F497" s="2">
        <f>DATE(A497, (B497-1)*3 + 1, 1)</f>
        <v>42278</v>
      </c>
    </row>
    <row r="498" spans="1:6" x14ac:dyDescent="0.3">
      <c r="A498">
        <v>2015</v>
      </c>
      <c r="B498">
        <v>4</v>
      </c>
      <c r="C498" t="s">
        <v>14</v>
      </c>
      <c r="D498">
        <v>244327000</v>
      </c>
      <c r="E498" t="str">
        <f xml:space="preserve"> A498 &amp; " Q" &amp; B498</f>
        <v>2015 Q4</v>
      </c>
      <c r="F498" s="2">
        <f>DATE(A498, (B498-1)*3 + 1, 1)</f>
        <v>42278</v>
      </c>
    </row>
    <row r="499" spans="1:6" x14ac:dyDescent="0.3">
      <c r="A499">
        <v>2015</v>
      </c>
      <c r="B499">
        <v>4</v>
      </c>
      <c r="C499" t="s">
        <v>15</v>
      </c>
      <c r="D499">
        <v>88202000</v>
      </c>
      <c r="E499" t="str">
        <f xml:space="preserve"> A499 &amp; " Q" &amp; B499</f>
        <v>2015 Q4</v>
      </c>
      <c r="F499" s="2">
        <f>DATE(A499, (B499-1)*3 + 1, 1)</f>
        <v>42278</v>
      </c>
    </row>
    <row r="500" spans="1:6" x14ac:dyDescent="0.3">
      <c r="A500">
        <v>2015</v>
      </c>
      <c r="B500">
        <v>4</v>
      </c>
      <c r="C500" t="s">
        <v>16</v>
      </c>
      <c r="D500">
        <v>94606000</v>
      </c>
      <c r="E500" t="str">
        <f xml:space="preserve"> A500 &amp; " Q" &amp; B500</f>
        <v>2015 Q4</v>
      </c>
      <c r="F500" s="2">
        <f>DATE(A500, (B500-1)*3 + 1, 1)</f>
        <v>42278</v>
      </c>
    </row>
    <row r="501" spans="1:6" x14ac:dyDescent="0.3">
      <c r="A501">
        <v>2015</v>
      </c>
      <c r="B501">
        <v>4</v>
      </c>
      <c r="C501" t="s">
        <v>20</v>
      </c>
      <c r="D501">
        <v>157059000</v>
      </c>
      <c r="E501" t="str">
        <f xml:space="preserve"> A501 &amp; " Q" &amp; B501</f>
        <v>2015 Q4</v>
      </c>
      <c r="F501" s="2">
        <f>DATE(A501, (B501-1)*3 + 1, 1)</f>
        <v>42278</v>
      </c>
    </row>
    <row r="502" spans="1:6" x14ac:dyDescent="0.3">
      <c r="A502">
        <v>2015</v>
      </c>
      <c r="B502">
        <v>4</v>
      </c>
      <c r="C502" t="s">
        <v>17</v>
      </c>
      <c r="D502">
        <v>192583000</v>
      </c>
      <c r="E502" t="str">
        <f xml:space="preserve"> A502 &amp; " Q" &amp; B502</f>
        <v>2015 Q4</v>
      </c>
      <c r="F502" s="2">
        <f>DATE(A502, (B502-1)*3 + 1, 1)</f>
        <v>42278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11DF-73E9-4DB3-A47E-13E82151D648}">
  <dimension ref="A1:R113"/>
  <sheetViews>
    <sheetView topLeftCell="A79" zoomScale="85" zoomScaleNormal="85" workbookViewId="0">
      <selection activeCell="A76" sqref="A76:B76"/>
    </sheetView>
  </sheetViews>
  <sheetFormatPr defaultRowHeight="14.4" x14ac:dyDescent="0.3"/>
  <cols>
    <col min="1" max="1" width="13.44140625" bestFit="1" customWidth="1"/>
    <col min="2" max="2" width="12.44140625" bestFit="1" customWidth="1"/>
    <col min="3" max="3" width="11.6640625" bestFit="1" customWidth="1"/>
    <col min="4" max="6" width="12" bestFit="1" customWidth="1"/>
    <col min="12" max="12" width="19.5546875" bestFit="1" customWidth="1"/>
    <col min="13" max="13" width="12.44140625" bestFit="1" customWidth="1"/>
    <col min="17" max="17" width="12.88671875" bestFit="1" customWidth="1"/>
    <col min="18" max="18" width="12" bestFit="1" customWidth="1"/>
  </cols>
  <sheetData>
    <row r="1" spans="1:18" x14ac:dyDescent="0.3">
      <c r="A1" s="10"/>
      <c r="B1" s="27" t="s">
        <v>34</v>
      </c>
      <c r="C1" s="27"/>
      <c r="D1" s="27"/>
      <c r="E1" s="27"/>
      <c r="F1" s="27"/>
      <c r="G1" s="27"/>
      <c r="H1" s="27"/>
      <c r="I1" s="27"/>
      <c r="J1" s="27"/>
      <c r="K1" s="27"/>
      <c r="L1" s="11"/>
    </row>
    <row r="2" spans="1:18" ht="15" thickBot="1" x14ac:dyDescent="0.35">
      <c r="A2" s="3"/>
      <c r="L2" s="4"/>
    </row>
    <row r="3" spans="1:18" ht="15" thickBot="1" x14ac:dyDescent="0.35">
      <c r="A3" s="16" t="s">
        <v>23</v>
      </c>
      <c r="B3" s="21" t="s">
        <v>33</v>
      </c>
      <c r="L3" s="4"/>
    </row>
    <row r="4" spans="1:18" x14ac:dyDescent="0.3">
      <c r="A4" s="17" t="s">
        <v>25</v>
      </c>
      <c r="B4" s="13">
        <v>8965561000</v>
      </c>
      <c r="L4" s="4"/>
    </row>
    <row r="5" spans="1:18" x14ac:dyDescent="0.3">
      <c r="A5" s="18" t="s">
        <v>26</v>
      </c>
      <c r="B5" s="14">
        <v>7652500000</v>
      </c>
      <c r="L5" s="4"/>
      <c r="Q5" s="12" t="s">
        <v>2</v>
      </c>
      <c r="R5" t="s">
        <v>55</v>
      </c>
    </row>
    <row r="6" spans="1:18" x14ac:dyDescent="0.3">
      <c r="A6" s="18" t="s">
        <v>27</v>
      </c>
      <c r="B6" s="14">
        <v>8556088000</v>
      </c>
      <c r="L6" s="4"/>
    </row>
    <row r="7" spans="1:18" x14ac:dyDescent="0.3">
      <c r="A7" s="18" t="s">
        <v>28</v>
      </c>
      <c r="B7" s="14">
        <v>12170441000</v>
      </c>
      <c r="L7" s="4"/>
      <c r="Q7" s="12" t="s">
        <v>23</v>
      </c>
      <c r="R7" t="s">
        <v>33</v>
      </c>
    </row>
    <row r="8" spans="1:18" x14ac:dyDescent="0.3">
      <c r="A8" s="18" t="s">
        <v>29</v>
      </c>
      <c r="B8" s="14">
        <v>10960876000</v>
      </c>
      <c r="L8" s="4"/>
      <c r="Q8" s="25" t="s">
        <v>25</v>
      </c>
      <c r="R8" s="30">
        <v>8965561000</v>
      </c>
    </row>
    <row r="9" spans="1:18" x14ac:dyDescent="0.3">
      <c r="A9" s="18" t="s">
        <v>30</v>
      </c>
      <c r="B9" s="14">
        <v>12000615000</v>
      </c>
      <c r="L9" s="4"/>
      <c r="Q9" s="25" t="s">
        <v>26</v>
      </c>
      <c r="R9" s="30">
        <v>7652500000</v>
      </c>
    </row>
    <row r="10" spans="1:18" x14ac:dyDescent="0.3">
      <c r="A10" s="18" t="s">
        <v>31</v>
      </c>
      <c r="B10" s="14">
        <v>13392487000</v>
      </c>
      <c r="L10" s="4"/>
      <c r="Q10" s="25" t="s">
        <v>27</v>
      </c>
      <c r="R10" s="30">
        <v>8556088000</v>
      </c>
    </row>
    <row r="11" spans="1:18" ht="15" thickBot="1" x14ac:dyDescent="0.35">
      <c r="A11" s="19" t="s">
        <v>32</v>
      </c>
      <c r="B11" s="14">
        <v>14506732000</v>
      </c>
      <c r="L11" s="4"/>
      <c r="Q11" s="25" t="s">
        <v>28</v>
      </c>
      <c r="R11" s="30">
        <v>12170441000</v>
      </c>
    </row>
    <row r="12" spans="1:18" ht="15" thickBot="1" x14ac:dyDescent="0.35">
      <c r="A12" s="20" t="s">
        <v>24</v>
      </c>
      <c r="B12" s="15">
        <v>88205300000</v>
      </c>
      <c r="L12" s="4"/>
      <c r="Q12" s="25" t="s">
        <v>29</v>
      </c>
      <c r="R12" s="30">
        <v>10960876000</v>
      </c>
    </row>
    <row r="13" spans="1:18" x14ac:dyDescent="0.3">
      <c r="A13" s="3"/>
      <c r="L13" s="4"/>
      <c r="Q13" s="25" t="s">
        <v>30</v>
      </c>
      <c r="R13" s="30">
        <v>12000615000</v>
      </c>
    </row>
    <row r="14" spans="1:18" x14ac:dyDescent="0.3">
      <c r="A14" s="3"/>
      <c r="L14" s="4"/>
      <c r="Q14" s="25" t="s">
        <v>31</v>
      </c>
      <c r="R14" s="30">
        <v>13392487000</v>
      </c>
    </row>
    <row r="15" spans="1:18" x14ac:dyDescent="0.3">
      <c r="A15" s="3"/>
      <c r="L15" s="4"/>
      <c r="Q15" s="25" t="s">
        <v>32</v>
      </c>
      <c r="R15" s="30">
        <v>14506732000</v>
      </c>
    </row>
    <row r="16" spans="1:18" x14ac:dyDescent="0.3">
      <c r="A16" s="3"/>
      <c r="L16" s="4"/>
      <c r="Q16" s="25" t="s">
        <v>24</v>
      </c>
      <c r="R16" s="30">
        <v>88205300000</v>
      </c>
    </row>
    <row r="17" spans="1:12" x14ac:dyDescent="0.3">
      <c r="A17" s="3"/>
      <c r="L17" s="4"/>
    </row>
    <row r="18" spans="1:12" ht="15" thickBot="1" x14ac:dyDescent="0.35">
      <c r="A18" s="7"/>
      <c r="B18" s="8"/>
      <c r="C18" s="8"/>
      <c r="D18" s="8"/>
      <c r="E18" s="8"/>
      <c r="F18" s="8"/>
      <c r="G18" s="8"/>
      <c r="H18" s="8"/>
      <c r="I18" s="8"/>
      <c r="J18" s="8"/>
      <c r="K18" s="8"/>
      <c r="L18" s="9"/>
    </row>
    <row r="25" spans="1:12" ht="15" thickBot="1" x14ac:dyDescent="0.35"/>
    <row r="26" spans="1:12" x14ac:dyDescent="0.3">
      <c r="A26" s="28" t="s">
        <v>35</v>
      </c>
      <c r="B26" s="27"/>
      <c r="C26" s="27"/>
      <c r="D26" s="27"/>
      <c r="E26" s="27"/>
      <c r="F26" s="27"/>
      <c r="G26" s="27"/>
      <c r="H26" s="27"/>
      <c r="I26" s="27"/>
      <c r="J26" s="27"/>
      <c r="K26" s="27"/>
      <c r="L26" s="29"/>
    </row>
    <row r="27" spans="1:12" ht="15" thickBot="1" x14ac:dyDescent="0.35">
      <c r="A27" s="3"/>
      <c r="L27" s="4"/>
    </row>
    <row r="28" spans="1:12" ht="15" thickBot="1" x14ac:dyDescent="0.35">
      <c r="A28" s="16" t="s">
        <v>23</v>
      </c>
      <c r="B28" s="21" t="s">
        <v>33</v>
      </c>
      <c r="L28" s="4"/>
    </row>
    <row r="29" spans="1:12" x14ac:dyDescent="0.3">
      <c r="A29" s="17" t="s">
        <v>4</v>
      </c>
      <c r="B29" s="13">
        <v>8902115000</v>
      </c>
      <c r="L29" s="4"/>
    </row>
    <row r="30" spans="1:12" x14ac:dyDescent="0.3">
      <c r="A30" s="18" t="s">
        <v>5</v>
      </c>
      <c r="B30" s="14">
        <v>20142323000</v>
      </c>
      <c r="L30" s="4"/>
    </row>
    <row r="31" spans="1:12" x14ac:dyDescent="0.3">
      <c r="A31" s="18" t="s">
        <v>18</v>
      </c>
      <c r="B31" s="14">
        <v>4742532000</v>
      </c>
      <c r="L31" s="4"/>
    </row>
    <row r="32" spans="1:12" x14ac:dyDescent="0.3">
      <c r="A32" s="18" t="s">
        <v>6</v>
      </c>
      <c r="B32" s="14">
        <v>677201000</v>
      </c>
      <c r="L32" s="4"/>
    </row>
    <row r="33" spans="1:12" x14ac:dyDescent="0.3">
      <c r="A33" s="18" t="s">
        <v>19</v>
      </c>
      <c r="B33" s="14">
        <v>1027326000</v>
      </c>
      <c r="L33" s="4"/>
    </row>
    <row r="34" spans="1:12" x14ac:dyDescent="0.3">
      <c r="A34" s="18" t="s">
        <v>7</v>
      </c>
      <c r="B34" s="14">
        <v>6763613000</v>
      </c>
      <c r="L34" s="4"/>
    </row>
    <row r="35" spans="1:12" x14ac:dyDescent="0.3">
      <c r="A35" s="18" t="s">
        <v>8</v>
      </c>
      <c r="B35" s="14">
        <v>3236493000</v>
      </c>
      <c r="L35" s="4"/>
    </row>
    <row r="36" spans="1:12" x14ac:dyDescent="0.3">
      <c r="A36" s="18" t="s">
        <v>9</v>
      </c>
      <c r="B36" s="14">
        <v>11926044000</v>
      </c>
      <c r="L36" s="4"/>
    </row>
    <row r="37" spans="1:12" x14ac:dyDescent="0.3">
      <c r="A37" s="18" t="s">
        <v>10</v>
      </c>
      <c r="B37" s="14">
        <v>316939000</v>
      </c>
      <c r="L37" s="4"/>
    </row>
    <row r="38" spans="1:12" x14ac:dyDescent="0.3">
      <c r="A38" s="18" t="s">
        <v>11</v>
      </c>
      <c r="B38" s="14">
        <v>1600594000</v>
      </c>
      <c r="L38" s="4"/>
    </row>
    <row r="39" spans="1:12" x14ac:dyDescent="0.3">
      <c r="A39" s="18" t="s">
        <v>12</v>
      </c>
      <c r="B39" s="14">
        <v>9058407000</v>
      </c>
      <c r="L39" s="4"/>
    </row>
    <row r="40" spans="1:12" x14ac:dyDescent="0.3">
      <c r="A40" s="18" t="s">
        <v>13</v>
      </c>
      <c r="B40" s="14">
        <v>792807000</v>
      </c>
      <c r="L40" s="4"/>
    </row>
    <row r="41" spans="1:12" x14ac:dyDescent="0.3">
      <c r="A41" s="18" t="s">
        <v>14</v>
      </c>
      <c r="B41" s="14">
        <v>5344367000</v>
      </c>
      <c r="L41" s="4"/>
    </row>
    <row r="42" spans="1:12" x14ac:dyDescent="0.3">
      <c r="A42" s="18" t="s">
        <v>15</v>
      </c>
      <c r="B42" s="14">
        <v>2621436000</v>
      </c>
      <c r="L42" s="4"/>
    </row>
    <row r="43" spans="1:12" x14ac:dyDescent="0.3">
      <c r="A43" s="18" t="s">
        <v>16</v>
      </c>
      <c r="B43" s="14">
        <v>2384044000</v>
      </c>
      <c r="L43" s="4"/>
    </row>
    <row r="44" spans="1:12" x14ac:dyDescent="0.3">
      <c r="A44" s="18" t="s">
        <v>20</v>
      </c>
      <c r="B44" s="14">
        <v>3582170000</v>
      </c>
      <c r="L44" s="4"/>
    </row>
    <row r="45" spans="1:12" ht="15" thickBot="1" x14ac:dyDescent="0.35">
      <c r="A45" s="19" t="s">
        <v>17</v>
      </c>
      <c r="B45" s="14">
        <v>5086889000</v>
      </c>
      <c r="L45" s="4"/>
    </row>
    <row r="46" spans="1:12" ht="15" thickBot="1" x14ac:dyDescent="0.35">
      <c r="A46" s="20" t="s">
        <v>24</v>
      </c>
      <c r="B46" s="15">
        <v>88205300000</v>
      </c>
      <c r="L46" s="4"/>
    </row>
    <row r="47" spans="1:12" x14ac:dyDescent="0.3">
      <c r="A47" s="3"/>
      <c r="L47" s="4"/>
    </row>
    <row r="48" spans="1:12" x14ac:dyDescent="0.3">
      <c r="A48" s="3"/>
      <c r="L48" s="4"/>
    </row>
    <row r="49" spans="1:13" ht="15" thickBot="1" x14ac:dyDescent="0.35">
      <c r="A49" s="7"/>
      <c r="B49" s="8"/>
      <c r="C49" s="8"/>
      <c r="D49" s="8"/>
      <c r="E49" s="8"/>
      <c r="F49" s="8"/>
      <c r="G49" s="8"/>
      <c r="H49" s="8"/>
      <c r="I49" s="8"/>
      <c r="J49" s="8"/>
      <c r="K49" s="8"/>
      <c r="L49" s="9"/>
    </row>
    <row r="56" spans="1:13" ht="15" thickBot="1" x14ac:dyDescent="0.35"/>
    <row r="57" spans="1:13" x14ac:dyDescent="0.3">
      <c r="A57" s="28" t="s">
        <v>37</v>
      </c>
      <c r="B57" s="27"/>
      <c r="C57" s="27"/>
      <c r="D57" s="27"/>
      <c r="E57" s="27"/>
      <c r="F57" s="27"/>
      <c r="G57" s="29"/>
    </row>
    <row r="58" spans="1:13" x14ac:dyDescent="0.3">
      <c r="A58" s="3"/>
      <c r="G58" s="4"/>
      <c r="L58" s="1" t="s">
        <v>43</v>
      </c>
      <c r="M58" s="1" t="s">
        <v>44</v>
      </c>
    </row>
    <row r="59" spans="1:13" x14ac:dyDescent="0.3">
      <c r="A59" s="5" t="s">
        <v>33</v>
      </c>
      <c r="B59" s="12" t="s">
        <v>36</v>
      </c>
      <c r="G59" s="4"/>
      <c r="L59" s="1" t="s">
        <v>38</v>
      </c>
      <c r="M59" s="1">
        <f>AVERAGE(colorado_motor_vehicle_sales__2[sales])</f>
        <v>176058483.03393215</v>
      </c>
    </row>
    <row r="60" spans="1:13" x14ac:dyDescent="0.3">
      <c r="A60" s="5" t="s">
        <v>23</v>
      </c>
      <c r="B60">
        <v>1</v>
      </c>
      <c r="C60">
        <v>2</v>
      </c>
      <c r="D60">
        <v>3</v>
      </c>
      <c r="E60">
        <v>4</v>
      </c>
      <c r="F60" t="s">
        <v>24</v>
      </c>
      <c r="G60" s="4"/>
      <c r="L60" s="1" t="s">
        <v>39</v>
      </c>
      <c r="M60" s="1">
        <f>MEDIAN(colorado_motor_vehicle_sales__2[sales])</f>
        <v>138582000</v>
      </c>
    </row>
    <row r="61" spans="1:13" x14ac:dyDescent="0.3">
      <c r="A61" s="6">
        <v>2008</v>
      </c>
      <c r="B61">
        <v>2407552000</v>
      </c>
      <c r="C61">
        <v>2427936000</v>
      </c>
      <c r="D61">
        <v>2300541000</v>
      </c>
      <c r="E61">
        <v>1829532000</v>
      </c>
      <c r="F61">
        <v>8965561000</v>
      </c>
      <c r="G61" s="4"/>
      <c r="L61" s="1" t="s">
        <v>40</v>
      </c>
      <c r="M61" s="1">
        <f>MAX(colorado_motor_vehicle_sales__2[sales])</f>
        <v>916910000</v>
      </c>
    </row>
    <row r="62" spans="1:13" x14ac:dyDescent="0.3">
      <c r="A62" s="6">
        <v>2009</v>
      </c>
      <c r="B62">
        <v>1657155000</v>
      </c>
      <c r="C62">
        <v>1826950000</v>
      </c>
      <c r="D62">
        <v>2223123000</v>
      </c>
      <c r="E62">
        <v>1945272000</v>
      </c>
      <c r="F62">
        <v>7652500000</v>
      </c>
      <c r="G62" s="4"/>
      <c r="L62" s="1" t="s">
        <v>41</v>
      </c>
      <c r="M62" s="1">
        <f>MIN(colorado_motor_vehicle_sales__2[sales])</f>
        <v>6274000</v>
      </c>
    </row>
    <row r="63" spans="1:13" x14ac:dyDescent="0.3">
      <c r="A63" s="6">
        <v>2010</v>
      </c>
      <c r="B63">
        <v>1904579000</v>
      </c>
      <c r="C63">
        <v>2111542000</v>
      </c>
      <c r="D63">
        <v>2311231000</v>
      </c>
      <c r="E63">
        <v>2228736000</v>
      </c>
      <c r="F63">
        <v>8556088000</v>
      </c>
      <c r="G63" s="4"/>
      <c r="L63" s="1" t="s">
        <v>42</v>
      </c>
      <c r="M63" s="1">
        <f>_xlfn.STDEV.S(colorado_motor_vehicle_sales__2[sales])</f>
        <v>164205510.08240339</v>
      </c>
    </row>
    <row r="64" spans="1:13" x14ac:dyDescent="0.3">
      <c r="A64" s="6">
        <v>2011</v>
      </c>
      <c r="B64">
        <v>2957148000</v>
      </c>
      <c r="C64">
        <v>3241654000</v>
      </c>
      <c r="D64">
        <v>3470846000</v>
      </c>
      <c r="E64">
        <v>2500793000</v>
      </c>
      <c r="F64">
        <v>12170441000</v>
      </c>
      <c r="G64" s="4"/>
    </row>
    <row r="65" spans="1:7" x14ac:dyDescent="0.3">
      <c r="A65" s="6">
        <v>2012</v>
      </c>
      <c r="B65">
        <v>2547108000</v>
      </c>
      <c r="C65">
        <v>2738843000</v>
      </c>
      <c r="D65">
        <v>2885037000</v>
      </c>
      <c r="E65">
        <v>2789888000</v>
      </c>
      <c r="F65">
        <v>10960876000</v>
      </c>
      <c r="G65" s="4"/>
    </row>
    <row r="66" spans="1:7" x14ac:dyDescent="0.3">
      <c r="A66" s="6">
        <v>2013</v>
      </c>
      <c r="B66">
        <v>2675387000</v>
      </c>
      <c r="C66">
        <v>3022493000</v>
      </c>
      <c r="D66">
        <v>3183370000</v>
      </c>
      <c r="E66">
        <v>3119365000</v>
      </c>
      <c r="F66">
        <v>12000615000</v>
      </c>
      <c r="G66" s="4"/>
    </row>
    <row r="67" spans="1:7" x14ac:dyDescent="0.3">
      <c r="A67" s="6">
        <v>2014</v>
      </c>
      <c r="B67">
        <v>2936644000</v>
      </c>
      <c r="C67">
        <v>3331042000</v>
      </c>
      <c r="D67">
        <v>3624346000</v>
      </c>
      <c r="E67">
        <v>3500455000</v>
      </c>
      <c r="F67">
        <v>13392487000</v>
      </c>
      <c r="G67" s="4"/>
    </row>
    <row r="68" spans="1:7" x14ac:dyDescent="0.3">
      <c r="A68" s="6">
        <v>2015</v>
      </c>
      <c r="B68">
        <v>3291273000</v>
      </c>
      <c r="C68">
        <v>3642834000</v>
      </c>
      <c r="D68">
        <v>3916440000</v>
      </c>
      <c r="E68">
        <v>3656185000</v>
      </c>
      <c r="F68">
        <v>14506732000</v>
      </c>
      <c r="G68" s="4"/>
    </row>
    <row r="69" spans="1:7" x14ac:dyDescent="0.3">
      <c r="A69" s="6" t="s">
        <v>24</v>
      </c>
      <c r="B69">
        <v>20376846000</v>
      </c>
      <c r="C69">
        <v>22343294000</v>
      </c>
      <c r="D69">
        <v>23914934000</v>
      </c>
      <c r="E69">
        <v>21570226000</v>
      </c>
      <c r="F69">
        <v>88205300000</v>
      </c>
      <c r="G69" s="4"/>
    </row>
    <row r="70" spans="1:7" x14ac:dyDescent="0.3">
      <c r="A70" s="3"/>
      <c r="G70" s="4"/>
    </row>
    <row r="71" spans="1:7" ht="15" thickBot="1" x14ac:dyDescent="0.35">
      <c r="A71" s="7"/>
      <c r="B71" s="8"/>
      <c r="C71" s="8"/>
      <c r="D71" s="8"/>
      <c r="E71" s="8"/>
      <c r="F71" s="8"/>
      <c r="G71" s="9"/>
    </row>
    <row r="75" spans="1:7" ht="15" thickBot="1" x14ac:dyDescent="0.35"/>
    <row r="76" spans="1:7" x14ac:dyDescent="0.3">
      <c r="A76" s="28" t="s">
        <v>48</v>
      </c>
      <c r="B76" s="27"/>
      <c r="C76" s="11"/>
    </row>
    <row r="77" spans="1:7" x14ac:dyDescent="0.3">
      <c r="A77" s="3"/>
      <c r="C77" s="4"/>
    </row>
    <row r="78" spans="1:7" x14ac:dyDescent="0.3">
      <c r="A78" s="5" t="s">
        <v>23</v>
      </c>
      <c r="B78" t="s">
        <v>33</v>
      </c>
      <c r="C78" s="4"/>
    </row>
    <row r="79" spans="1:7" x14ac:dyDescent="0.3">
      <c r="A79" s="23">
        <v>39448</v>
      </c>
      <c r="B79">
        <v>2407552000</v>
      </c>
      <c r="C79" s="4"/>
    </row>
    <row r="80" spans="1:7" x14ac:dyDescent="0.3">
      <c r="A80" s="23">
        <v>39539</v>
      </c>
      <c r="B80">
        <v>2427936000</v>
      </c>
      <c r="C80" s="4"/>
    </row>
    <row r="81" spans="1:3" x14ac:dyDescent="0.3">
      <c r="A81" s="23">
        <v>39630</v>
      </c>
      <c r="B81">
        <v>2300541000</v>
      </c>
      <c r="C81" s="4"/>
    </row>
    <row r="82" spans="1:3" x14ac:dyDescent="0.3">
      <c r="A82" s="23">
        <v>39722</v>
      </c>
      <c r="B82">
        <v>1829532000</v>
      </c>
      <c r="C82" s="4"/>
    </row>
    <row r="83" spans="1:3" x14ac:dyDescent="0.3">
      <c r="A83" s="23">
        <v>39814</v>
      </c>
      <c r="B83">
        <v>1657155000</v>
      </c>
      <c r="C83" s="4"/>
    </row>
    <row r="84" spans="1:3" x14ac:dyDescent="0.3">
      <c r="A84" s="23">
        <v>39904</v>
      </c>
      <c r="B84">
        <v>1826950000</v>
      </c>
      <c r="C84" s="4"/>
    </row>
    <row r="85" spans="1:3" x14ac:dyDescent="0.3">
      <c r="A85" s="23">
        <v>39995</v>
      </c>
      <c r="B85">
        <v>2223123000</v>
      </c>
      <c r="C85" s="4"/>
    </row>
    <row r="86" spans="1:3" x14ac:dyDescent="0.3">
      <c r="A86" s="23">
        <v>40087</v>
      </c>
      <c r="B86">
        <v>1945272000</v>
      </c>
      <c r="C86" s="4"/>
    </row>
    <row r="87" spans="1:3" x14ac:dyDescent="0.3">
      <c r="A87" s="23">
        <v>40179</v>
      </c>
      <c r="B87">
        <v>1904579000</v>
      </c>
      <c r="C87" s="4"/>
    </row>
    <row r="88" spans="1:3" x14ac:dyDescent="0.3">
      <c r="A88" s="23">
        <v>40269</v>
      </c>
      <c r="B88">
        <v>2111542000</v>
      </c>
      <c r="C88" s="4"/>
    </row>
    <row r="89" spans="1:3" x14ac:dyDescent="0.3">
      <c r="A89" s="23">
        <v>40360</v>
      </c>
      <c r="B89">
        <v>2311231000</v>
      </c>
      <c r="C89" s="4"/>
    </row>
    <row r="90" spans="1:3" x14ac:dyDescent="0.3">
      <c r="A90" s="23">
        <v>40452</v>
      </c>
      <c r="B90">
        <v>2228736000</v>
      </c>
      <c r="C90" s="4"/>
    </row>
    <row r="91" spans="1:3" x14ac:dyDescent="0.3">
      <c r="A91" s="23">
        <v>40544</v>
      </c>
      <c r="B91">
        <v>2957148000</v>
      </c>
      <c r="C91" s="4"/>
    </row>
    <row r="92" spans="1:3" x14ac:dyDescent="0.3">
      <c r="A92" s="23">
        <v>40634</v>
      </c>
      <c r="B92">
        <v>3241654000</v>
      </c>
      <c r="C92" s="4"/>
    </row>
    <row r="93" spans="1:3" x14ac:dyDescent="0.3">
      <c r="A93" s="23">
        <v>40725</v>
      </c>
      <c r="B93">
        <v>3470846000</v>
      </c>
      <c r="C93" s="4"/>
    </row>
    <row r="94" spans="1:3" x14ac:dyDescent="0.3">
      <c r="A94" s="23">
        <v>40817</v>
      </c>
      <c r="B94">
        <v>2500793000</v>
      </c>
      <c r="C94" s="4"/>
    </row>
    <row r="95" spans="1:3" x14ac:dyDescent="0.3">
      <c r="A95" s="23">
        <v>40909</v>
      </c>
      <c r="B95">
        <v>2547108000</v>
      </c>
      <c r="C95" s="4"/>
    </row>
    <row r="96" spans="1:3" x14ac:dyDescent="0.3">
      <c r="A96" s="23">
        <v>41000</v>
      </c>
      <c r="B96">
        <v>2738843000</v>
      </c>
      <c r="C96" s="4"/>
    </row>
    <row r="97" spans="1:3" x14ac:dyDescent="0.3">
      <c r="A97" s="23">
        <v>41091</v>
      </c>
      <c r="B97">
        <v>2885037000</v>
      </c>
      <c r="C97" s="4"/>
    </row>
    <row r="98" spans="1:3" x14ac:dyDescent="0.3">
      <c r="A98" s="23">
        <v>41183</v>
      </c>
      <c r="B98">
        <v>2789888000</v>
      </c>
      <c r="C98" s="4"/>
    </row>
    <row r="99" spans="1:3" x14ac:dyDescent="0.3">
      <c r="A99" s="23">
        <v>41275</v>
      </c>
      <c r="B99">
        <v>2675387000</v>
      </c>
      <c r="C99" s="4"/>
    </row>
    <row r="100" spans="1:3" x14ac:dyDescent="0.3">
      <c r="A100" s="23">
        <v>41365</v>
      </c>
      <c r="B100">
        <v>3022493000</v>
      </c>
      <c r="C100" s="4"/>
    </row>
    <row r="101" spans="1:3" x14ac:dyDescent="0.3">
      <c r="A101" s="23">
        <v>41456</v>
      </c>
      <c r="B101">
        <v>3183370000</v>
      </c>
      <c r="C101" s="4"/>
    </row>
    <row r="102" spans="1:3" x14ac:dyDescent="0.3">
      <c r="A102" s="23">
        <v>41548</v>
      </c>
      <c r="B102">
        <v>3119365000</v>
      </c>
      <c r="C102" s="4"/>
    </row>
    <row r="103" spans="1:3" x14ac:dyDescent="0.3">
      <c r="A103" s="23">
        <v>41640</v>
      </c>
      <c r="B103">
        <v>2936644000</v>
      </c>
      <c r="C103" s="4"/>
    </row>
    <row r="104" spans="1:3" x14ac:dyDescent="0.3">
      <c r="A104" s="23">
        <v>41730</v>
      </c>
      <c r="B104">
        <v>3331042000</v>
      </c>
      <c r="C104" s="4"/>
    </row>
    <row r="105" spans="1:3" x14ac:dyDescent="0.3">
      <c r="A105" s="23">
        <v>41821</v>
      </c>
      <c r="B105">
        <v>3624346000</v>
      </c>
      <c r="C105" s="4"/>
    </row>
    <row r="106" spans="1:3" x14ac:dyDescent="0.3">
      <c r="A106" s="23">
        <v>41913</v>
      </c>
      <c r="B106">
        <v>3500455000</v>
      </c>
      <c r="C106" s="4"/>
    </row>
    <row r="107" spans="1:3" x14ac:dyDescent="0.3">
      <c r="A107" s="23">
        <v>42005</v>
      </c>
      <c r="B107">
        <v>3291273000</v>
      </c>
      <c r="C107" s="4"/>
    </row>
    <row r="108" spans="1:3" x14ac:dyDescent="0.3">
      <c r="A108" s="23">
        <v>42095</v>
      </c>
      <c r="B108">
        <v>3642834000</v>
      </c>
      <c r="C108" s="4"/>
    </row>
    <row r="109" spans="1:3" x14ac:dyDescent="0.3">
      <c r="A109" s="23">
        <v>42186</v>
      </c>
      <c r="B109">
        <v>3916440000</v>
      </c>
      <c r="C109" s="4"/>
    </row>
    <row r="110" spans="1:3" x14ac:dyDescent="0.3">
      <c r="A110" s="23">
        <v>42278</v>
      </c>
      <c r="B110">
        <v>3656185000</v>
      </c>
      <c r="C110" s="4"/>
    </row>
    <row r="111" spans="1:3" x14ac:dyDescent="0.3">
      <c r="A111" s="23" t="s">
        <v>24</v>
      </c>
      <c r="B111">
        <v>88205300000</v>
      </c>
      <c r="C111" s="4"/>
    </row>
    <row r="112" spans="1:3" x14ac:dyDescent="0.3">
      <c r="A112" s="3"/>
      <c r="C112" s="4"/>
    </row>
    <row r="113" spans="1:3" ht="15" thickBot="1" x14ac:dyDescent="0.35">
      <c r="A113" s="7"/>
      <c r="B113" s="8"/>
      <c r="C113" s="9"/>
    </row>
  </sheetData>
  <mergeCells count="4">
    <mergeCell ref="B1:K1"/>
    <mergeCell ref="A26:L26"/>
    <mergeCell ref="A57:G57"/>
    <mergeCell ref="A76:B76"/>
  </mergeCells>
  <conditionalFormatting sqref="A59:F69">
    <cfRule type="colorScale" priority="1">
      <colorScale>
        <cfvo type="min"/>
        <cfvo type="percentile" val="50"/>
        <cfvo type="max"/>
        <color rgb="FFF8696B"/>
        <color rgb="FFFFEB84"/>
        <color rgb="FF63BE7B"/>
      </colorScale>
    </cfRule>
  </conditionalFormatting>
  <pageMargins left="0.7" right="0.7" top="0.75" bottom="0.75" header="0.3" footer="0.3"/>
  <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AD442-059B-4675-8796-82CD57C2C2F7}">
  <dimension ref="A1:G57"/>
  <sheetViews>
    <sheetView zoomScale="70" zoomScaleNormal="70" workbookViewId="0">
      <selection activeCell="J50" sqref="J50"/>
    </sheetView>
  </sheetViews>
  <sheetFormatPr defaultRowHeight="14.4" x14ac:dyDescent="0.3"/>
  <cols>
    <col min="1" max="1" width="12.21875" customWidth="1"/>
    <col min="2" max="2" width="13.33203125" customWidth="1"/>
    <col min="3" max="3" width="17.6640625" customWidth="1"/>
    <col min="4" max="4" width="18.21875" customWidth="1"/>
    <col min="5" max="5" width="25" customWidth="1"/>
    <col min="6" max="6" width="22.88671875" style="24" customWidth="1"/>
    <col min="7" max="7" width="15.21875" style="24" customWidth="1"/>
  </cols>
  <sheetData>
    <row r="1" spans="1:7" x14ac:dyDescent="0.3">
      <c r="A1" t="s">
        <v>23</v>
      </c>
      <c r="B1" t="s">
        <v>33</v>
      </c>
      <c r="C1" t="s">
        <v>45</v>
      </c>
      <c r="D1" t="s">
        <v>46</v>
      </c>
      <c r="E1" t="s">
        <v>47</v>
      </c>
      <c r="F1" s="24" t="s">
        <v>49</v>
      </c>
      <c r="G1" s="24" t="s">
        <v>50</v>
      </c>
    </row>
    <row r="2" spans="1:7" x14ac:dyDescent="0.3">
      <c r="A2" s="2">
        <v>39448</v>
      </c>
      <c r="B2">
        <v>2407552000</v>
      </c>
    </row>
    <row r="3" spans="1:7" x14ac:dyDescent="0.3">
      <c r="A3" s="2">
        <v>39539</v>
      </c>
      <c r="B3">
        <v>2427936000</v>
      </c>
    </row>
    <row r="4" spans="1:7" x14ac:dyDescent="0.3">
      <c r="A4" s="2">
        <v>39630</v>
      </c>
      <c r="B4">
        <v>2300541000</v>
      </c>
    </row>
    <row r="5" spans="1:7" x14ac:dyDescent="0.3">
      <c r="A5" s="2">
        <v>39722</v>
      </c>
      <c r="B5">
        <v>1829532000</v>
      </c>
    </row>
    <row r="6" spans="1:7" x14ac:dyDescent="0.3">
      <c r="A6" s="2">
        <v>39814</v>
      </c>
      <c r="B6">
        <v>1657155000</v>
      </c>
      <c r="F6" s="24">
        <f>IF(B6&lt;&gt;"",(B6-B2)/B2,(C6-C2)/C2)</f>
        <v>-0.31168464897123715</v>
      </c>
      <c r="G6" s="24">
        <f>IF(B3&lt;&gt;"",(B3-B2)/B2,(C3-C2)/C2)</f>
        <v>8.4666914774841825E-3</v>
      </c>
    </row>
    <row r="7" spans="1:7" x14ac:dyDescent="0.3">
      <c r="A7" s="2">
        <v>39904</v>
      </c>
      <c r="B7">
        <v>1826950000</v>
      </c>
      <c r="F7" s="24">
        <f t="shared" ref="F7:F57" si="0">IF(B7&lt;&gt;"",(B7-B3)/B3,(C7-C3)/C3)</f>
        <v>-0.24752958891832405</v>
      </c>
      <c r="G7" s="24">
        <f t="shared" ref="G7:G57" si="1">IF(B4&lt;&gt;"",(B4-B3)/B3,(C4-C3)/C3)</f>
        <v>-5.2470493456170178E-2</v>
      </c>
    </row>
    <row r="8" spans="1:7" x14ac:dyDescent="0.3">
      <c r="A8" s="2">
        <v>39995</v>
      </c>
      <c r="B8">
        <v>2223123000</v>
      </c>
      <c r="F8" s="24">
        <f t="shared" si="0"/>
        <v>-3.3652084444485017E-2</v>
      </c>
      <c r="G8" s="24">
        <f t="shared" si="1"/>
        <v>-0.2047383637153174</v>
      </c>
    </row>
    <row r="9" spans="1:7" x14ac:dyDescent="0.3">
      <c r="A9" s="2">
        <v>40087</v>
      </c>
      <c r="B9">
        <v>1945272000</v>
      </c>
      <c r="F9" s="24">
        <f t="shared" si="0"/>
        <v>6.326208013852723E-2</v>
      </c>
      <c r="G9" s="24">
        <f t="shared" si="1"/>
        <v>-9.421917736339129E-2</v>
      </c>
    </row>
    <row r="10" spans="1:7" x14ac:dyDescent="0.3">
      <c r="A10" s="2">
        <v>40179</v>
      </c>
      <c r="B10">
        <v>1904579000</v>
      </c>
      <c r="F10" s="24">
        <f t="shared" si="0"/>
        <v>0.14930649215070407</v>
      </c>
      <c r="G10" s="24">
        <f t="shared" si="1"/>
        <v>0.10246174920269981</v>
      </c>
    </row>
    <row r="11" spans="1:7" x14ac:dyDescent="0.3">
      <c r="A11" s="2">
        <v>40269</v>
      </c>
      <c r="B11">
        <v>2111542000</v>
      </c>
      <c r="F11" s="24">
        <f t="shared" si="0"/>
        <v>0.15577437806179698</v>
      </c>
      <c r="G11" s="24">
        <f t="shared" si="1"/>
        <v>0.21684939379840718</v>
      </c>
    </row>
    <row r="12" spans="1:7" x14ac:dyDescent="0.3">
      <c r="A12" s="2">
        <v>40360</v>
      </c>
      <c r="B12">
        <v>2311231000</v>
      </c>
      <c r="F12" s="24">
        <f t="shared" si="0"/>
        <v>3.9632534951957225E-2</v>
      </c>
      <c r="G12" s="24">
        <f t="shared" si="1"/>
        <v>-0.12498228842938515</v>
      </c>
    </row>
    <row r="13" spans="1:7" x14ac:dyDescent="0.3">
      <c r="A13" s="2">
        <v>40452</v>
      </c>
      <c r="B13">
        <v>2228736000</v>
      </c>
      <c r="F13" s="24">
        <f t="shared" si="0"/>
        <v>0.14571946750891393</v>
      </c>
      <c r="G13" s="24">
        <f t="shared" si="1"/>
        <v>-2.0918925476745669E-2</v>
      </c>
    </row>
    <row r="14" spans="1:7" x14ac:dyDescent="0.3">
      <c r="A14" s="2">
        <v>40544</v>
      </c>
      <c r="B14">
        <v>2957148000</v>
      </c>
      <c r="F14" s="24">
        <f t="shared" si="0"/>
        <v>0.55265179338846016</v>
      </c>
      <c r="G14" s="24">
        <f t="shared" si="1"/>
        <v>0.10866600965357698</v>
      </c>
    </row>
    <row r="15" spans="1:7" x14ac:dyDescent="0.3">
      <c r="A15" s="2">
        <v>40634</v>
      </c>
      <c r="B15">
        <v>3241654000</v>
      </c>
      <c r="F15" s="24">
        <f t="shared" si="0"/>
        <v>0.53520697196645861</v>
      </c>
      <c r="G15" s="24">
        <f t="shared" si="1"/>
        <v>9.4570224035325848E-2</v>
      </c>
    </row>
    <row r="16" spans="1:7" x14ac:dyDescent="0.3">
      <c r="A16" s="2">
        <v>40725</v>
      </c>
      <c r="B16">
        <v>3470846000</v>
      </c>
      <c r="F16" s="24">
        <f t="shared" si="0"/>
        <v>0.50173046311684122</v>
      </c>
      <c r="G16" s="24">
        <f t="shared" si="1"/>
        <v>-3.5693100343496605E-2</v>
      </c>
    </row>
    <row r="17" spans="1:7" x14ac:dyDescent="0.3">
      <c r="A17" s="2">
        <v>40817</v>
      </c>
      <c r="B17">
        <v>2500793000</v>
      </c>
      <c r="F17" s="24">
        <f t="shared" si="0"/>
        <v>0.12206784473351712</v>
      </c>
      <c r="G17" s="24">
        <f t="shared" si="1"/>
        <v>0.32682740351481737</v>
      </c>
    </row>
    <row r="18" spans="1:7" x14ac:dyDescent="0.3">
      <c r="A18" s="2">
        <v>40909</v>
      </c>
      <c r="B18">
        <v>2547108000</v>
      </c>
      <c r="F18" s="24">
        <f t="shared" si="0"/>
        <v>-0.13866062841629839</v>
      </c>
      <c r="G18" s="24">
        <f t="shared" si="1"/>
        <v>9.6209591133078226E-2</v>
      </c>
    </row>
    <row r="19" spans="1:7" x14ac:dyDescent="0.3">
      <c r="A19" s="2">
        <v>41000</v>
      </c>
      <c r="B19">
        <v>2738843000</v>
      </c>
      <c r="F19" s="24">
        <f t="shared" si="0"/>
        <v>-0.15510939785677311</v>
      </c>
      <c r="G19" s="24">
        <f t="shared" si="1"/>
        <v>7.0702178579206784E-2</v>
      </c>
    </row>
    <row r="20" spans="1:7" x14ac:dyDescent="0.3">
      <c r="A20" s="2">
        <v>41091</v>
      </c>
      <c r="B20">
        <v>2885037000</v>
      </c>
      <c r="F20" s="24">
        <f t="shared" si="0"/>
        <v>-0.16877988824626619</v>
      </c>
      <c r="G20" s="24">
        <f t="shared" si="1"/>
        <v>-0.27948603885047046</v>
      </c>
    </row>
    <row r="21" spans="1:7" x14ac:dyDescent="0.3">
      <c r="A21" s="2">
        <v>41183</v>
      </c>
      <c r="B21">
        <v>2789888000</v>
      </c>
      <c r="F21" s="24">
        <f t="shared" si="0"/>
        <v>0.11560133125772505</v>
      </c>
      <c r="G21" s="24">
        <f t="shared" si="1"/>
        <v>1.8520125416217975E-2</v>
      </c>
    </row>
    <row r="22" spans="1:7" x14ac:dyDescent="0.3">
      <c r="A22" s="2">
        <v>41275</v>
      </c>
      <c r="B22">
        <v>2675387000</v>
      </c>
      <c r="F22" s="24">
        <f t="shared" si="0"/>
        <v>5.036260731778943E-2</v>
      </c>
      <c r="G22" s="24">
        <f t="shared" si="1"/>
        <v>7.5275567427843651E-2</v>
      </c>
    </row>
    <row r="23" spans="1:7" x14ac:dyDescent="0.3">
      <c r="A23" s="2">
        <v>41365</v>
      </c>
      <c r="B23">
        <v>3022493000</v>
      </c>
      <c r="F23" s="24">
        <f t="shared" si="0"/>
        <v>0.103565629720287</v>
      </c>
      <c r="G23" s="24">
        <f t="shared" si="1"/>
        <v>5.3378014000802526E-2</v>
      </c>
    </row>
    <row r="24" spans="1:7" x14ac:dyDescent="0.3">
      <c r="A24" s="2">
        <v>41456</v>
      </c>
      <c r="B24">
        <v>3183370000</v>
      </c>
      <c r="F24" s="24">
        <f t="shared" si="0"/>
        <v>0.10340699270061354</v>
      </c>
      <c r="G24" s="24">
        <f t="shared" si="1"/>
        <v>-3.2980166285562371E-2</v>
      </c>
    </row>
    <row r="25" spans="1:7" x14ac:dyDescent="0.3">
      <c r="A25" s="2">
        <v>41548</v>
      </c>
      <c r="B25">
        <v>3119365000</v>
      </c>
      <c r="F25" s="24">
        <f t="shared" si="0"/>
        <v>0.11809685550100936</v>
      </c>
      <c r="G25" s="24">
        <f t="shared" si="1"/>
        <v>-4.1041432487612405E-2</v>
      </c>
    </row>
    <row r="26" spans="1:7" x14ac:dyDescent="0.3">
      <c r="A26" s="2">
        <v>41640</v>
      </c>
      <c r="B26">
        <v>2936644000</v>
      </c>
      <c r="F26" s="24">
        <f t="shared" si="0"/>
        <v>9.7652040620665348E-2</v>
      </c>
      <c r="G26" s="24">
        <f t="shared" si="1"/>
        <v>0.12974048240497543</v>
      </c>
    </row>
    <row r="27" spans="1:7" x14ac:dyDescent="0.3">
      <c r="A27" s="2">
        <v>41730</v>
      </c>
      <c r="B27">
        <v>3331042000</v>
      </c>
      <c r="F27" s="24">
        <f t="shared" si="0"/>
        <v>0.10208427281717443</v>
      </c>
      <c r="G27" s="24">
        <f t="shared" si="1"/>
        <v>5.3226591426349043E-2</v>
      </c>
    </row>
    <row r="28" spans="1:7" x14ac:dyDescent="0.3">
      <c r="A28" s="2">
        <v>41821</v>
      </c>
      <c r="B28">
        <v>3624346000</v>
      </c>
      <c r="F28" s="24">
        <f t="shared" si="0"/>
        <v>0.13852489657187195</v>
      </c>
      <c r="G28" s="24">
        <f t="shared" si="1"/>
        <v>-2.0106051134489551E-2</v>
      </c>
    </row>
    <row r="29" spans="1:7" x14ac:dyDescent="0.3">
      <c r="A29" s="2">
        <v>41913</v>
      </c>
      <c r="B29">
        <v>3500455000</v>
      </c>
      <c r="F29" s="24">
        <f t="shared" si="0"/>
        <v>0.1221690953126678</v>
      </c>
      <c r="G29" s="24">
        <f t="shared" si="1"/>
        <v>-5.8576344865060678E-2</v>
      </c>
    </row>
    <row r="30" spans="1:7" x14ac:dyDescent="0.3">
      <c r="A30" s="2">
        <v>42005</v>
      </c>
      <c r="B30">
        <v>3291273000</v>
      </c>
      <c r="F30" s="24">
        <f t="shared" si="0"/>
        <v>0.12075995592247477</v>
      </c>
      <c r="G30" s="24">
        <f t="shared" si="1"/>
        <v>0.13430228519357471</v>
      </c>
    </row>
    <row r="31" spans="1:7" x14ac:dyDescent="0.3">
      <c r="A31" s="2">
        <v>42095</v>
      </c>
      <c r="B31">
        <v>3642834000</v>
      </c>
      <c r="F31" s="24">
        <f t="shared" si="0"/>
        <v>9.3601941974913561E-2</v>
      </c>
      <c r="G31" s="24">
        <f t="shared" si="1"/>
        <v>8.8051726756972745E-2</v>
      </c>
    </row>
    <row r="32" spans="1:7" x14ac:dyDescent="0.3">
      <c r="A32" s="2">
        <v>42186</v>
      </c>
      <c r="B32">
        <v>3916440000</v>
      </c>
      <c r="F32" s="24">
        <f t="shared" si="0"/>
        <v>8.0592195116029205E-2</v>
      </c>
      <c r="G32" s="24">
        <f t="shared" si="1"/>
        <v>-3.4182994669934935E-2</v>
      </c>
    </row>
    <row r="33" spans="1:7" x14ac:dyDescent="0.3">
      <c r="A33" s="2">
        <v>42278</v>
      </c>
      <c r="B33">
        <v>3656185000</v>
      </c>
      <c r="C33">
        <v>3656185000</v>
      </c>
      <c r="D33" s="22">
        <v>3656185000</v>
      </c>
      <c r="E33" s="22">
        <v>3656185000</v>
      </c>
      <c r="F33" s="24">
        <f t="shared" si="0"/>
        <v>4.4488502208998547E-2</v>
      </c>
      <c r="G33" s="24">
        <f t="shared" si="1"/>
        <v>-5.9758517107061794E-2</v>
      </c>
    </row>
    <row r="34" spans="1:7" x14ac:dyDescent="0.3">
      <c r="A34" s="2">
        <v>42370</v>
      </c>
      <c r="C34">
        <f t="shared" ref="C34:C57" si="2">_xlfn.FORECAST.ETS(A34,$B$2:$B$33,$A$2:$A$33,12,1)</f>
        <v>3409979486.7426648</v>
      </c>
      <c r="D34" s="22">
        <f t="shared" ref="D34:D57" si="3">C34-_xlfn.FORECAST.ETS.CONFINT(A34,$B$2:$B$33,$A$2:$A$33,0.95,12,1)</f>
        <v>2890637436.0980444</v>
      </c>
      <c r="E34" s="22">
        <f t="shared" ref="E34:E57" si="4">C34+_xlfn.FORECAST.ETS.CONFINT(A34,$B$2:$B$33,$A$2:$A$33,0.95,12,1)</f>
        <v>3929321537.3872852</v>
      </c>
      <c r="G34" s="24">
        <f t="shared" si="1"/>
        <v>0.10681611643883689</v>
      </c>
    </row>
    <row r="35" spans="1:7" x14ac:dyDescent="0.3">
      <c r="A35" s="2">
        <v>42461</v>
      </c>
      <c r="C35">
        <f t="shared" si="2"/>
        <v>3680076520.941958</v>
      </c>
      <c r="D35" s="22">
        <f t="shared" si="3"/>
        <v>3156562989.5005999</v>
      </c>
      <c r="E35" s="22">
        <f t="shared" si="4"/>
        <v>4203590052.383316</v>
      </c>
      <c r="G35" s="24">
        <f t="shared" si="1"/>
        <v>7.5108006568512312E-2</v>
      </c>
    </row>
    <row r="36" spans="1:7" x14ac:dyDescent="0.3">
      <c r="A36" s="2">
        <v>42552</v>
      </c>
      <c r="C36">
        <f t="shared" si="2"/>
        <v>3858731335.5553613</v>
      </c>
      <c r="D36" s="22">
        <f t="shared" si="3"/>
        <v>3331014131.686789</v>
      </c>
      <c r="E36" s="22">
        <f t="shared" si="4"/>
        <v>4386448539.423934</v>
      </c>
      <c r="G36" s="24">
        <f t="shared" si="1"/>
        <v>-6.6451930835146208E-2</v>
      </c>
    </row>
    <row r="37" spans="1:7" x14ac:dyDescent="0.3">
      <c r="A37" s="2">
        <v>42644</v>
      </c>
      <c r="C37">
        <f t="shared" si="2"/>
        <v>3712057900.0079103</v>
      </c>
      <c r="D37" s="22">
        <f t="shared" si="3"/>
        <v>3180105088.2190475</v>
      </c>
      <c r="E37" s="22">
        <f t="shared" si="4"/>
        <v>4244010711.796773</v>
      </c>
      <c r="F37" s="24">
        <f t="shared" si="0"/>
        <v>1.528174860077109E-2</v>
      </c>
      <c r="G37" s="24">
        <f t="shared" si="1"/>
        <v>-6.7339457182099702E-2</v>
      </c>
    </row>
    <row r="38" spans="1:7" x14ac:dyDescent="0.3">
      <c r="A38" s="2">
        <v>42736</v>
      </c>
      <c r="C38">
        <f t="shared" si="2"/>
        <v>4430192492.3783293</v>
      </c>
      <c r="D38" s="22">
        <f t="shared" si="3"/>
        <v>3893972390.9571195</v>
      </c>
      <c r="E38" s="22">
        <f t="shared" si="4"/>
        <v>4966412593.7995396</v>
      </c>
      <c r="F38" s="24">
        <f t="shared" si="0"/>
        <v>0.29918449937955743</v>
      </c>
      <c r="G38" s="24">
        <f t="shared" si="1"/>
        <v>7.9207817891391349E-2</v>
      </c>
    </row>
    <row r="39" spans="1:7" x14ac:dyDescent="0.3">
      <c r="A39" s="2">
        <v>42826</v>
      </c>
      <c r="C39">
        <f t="shared" si="2"/>
        <v>4704570531.4844189</v>
      </c>
      <c r="D39" s="22">
        <f t="shared" si="3"/>
        <v>4164051710.086421</v>
      </c>
      <c r="E39" s="22">
        <f t="shared" si="4"/>
        <v>5245089352.8824167</v>
      </c>
      <c r="F39" s="24">
        <f t="shared" si="0"/>
        <v>0.27838932280686107</v>
      </c>
      <c r="G39" s="24">
        <f t="shared" si="1"/>
        <v>4.8546494508129021E-2</v>
      </c>
    </row>
    <row r="40" spans="1:7" x14ac:dyDescent="0.3">
      <c r="A40" s="2">
        <v>42917</v>
      </c>
      <c r="C40">
        <f t="shared" si="2"/>
        <v>4931672763.5122519</v>
      </c>
      <c r="D40" s="22">
        <f t="shared" si="3"/>
        <v>4386824040.6961536</v>
      </c>
      <c r="E40" s="22">
        <f t="shared" si="4"/>
        <v>5476521486.3283501</v>
      </c>
      <c r="F40" s="24">
        <f t="shared" si="0"/>
        <v>0.27805548887804837</v>
      </c>
      <c r="G40" s="24">
        <f t="shared" si="1"/>
        <v>-3.8010792354462093E-2</v>
      </c>
    </row>
    <row r="41" spans="1:7" x14ac:dyDescent="0.3">
      <c r="A41" s="2">
        <v>43009</v>
      </c>
      <c r="C41">
        <f t="shared" si="2"/>
        <v>3961189935.058382</v>
      </c>
      <c r="D41" s="22">
        <f t="shared" si="3"/>
        <v>3411980375.7760792</v>
      </c>
      <c r="E41" s="22">
        <f t="shared" si="4"/>
        <v>4510399494.3406849</v>
      </c>
      <c r="F41" s="24">
        <f t="shared" si="0"/>
        <v>6.7114264314126371E-2</v>
      </c>
      <c r="G41" s="24">
        <f t="shared" si="1"/>
        <v>0.19345996525778564</v>
      </c>
    </row>
    <row r="42" spans="1:7" x14ac:dyDescent="0.3">
      <c r="A42" s="2">
        <v>43101</v>
      </c>
      <c r="C42">
        <f t="shared" si="2"/>
        <v>4005070712.854866</v>
      </c>
      <c r="D42" s="22">
        <f t="shared" si="3"/>
        <v>3451469625.9014568</v>
      </c>
      <c r="E42" s="22">
        <f t="shared" si="4"/>
        <v>4558671799.8082752</v>
      </c>
      <c r="F42" s="24">
        <f t="shared" si="0"/>
        <v>-9.5960114657509726E-2</v>
      </c>
      <c r="G42" s="24">
        <f t="shared" si="1"/>
        <v>6.1933660800998505E-2</v>
      </c>
    </row>
    <row r="43" spans="1:7" x14ac:dyDescent="0.3">
      <c r="A43" s="2">
        <v>43191</v>
      </c>
      <c r="C43">
        <f t="shared" si="2"/>
        <v>4100593210.2384176</v>
      </c>
      <c r="D43" s="22">
        <f t="shared" si="3"/>
        <v>3542570145.6671863</v>
      </c>
      <c r="E43" s="22">
        <f t="shared" si="4"/>
        <v>4658616274.8096485</v>
      </c>
      <c r="F43" s="24">
        <f t="shared" si="0"/>
        <v>-0.12838096850796499</v>
      </c>
      <c r="G43" s="24">
        <f t="shared" si="1"/>
        <v>4.827268089786213E-2</v>
      </c>
    </row>
    <row r="44" spans="1:7" x14ac:dyDescent="0.3">
      <c r="A44" s="2">
        <v>43282</v>
      </c>
      <c r="C44">
        <f t="shared" si="2"/>
        <v>4385981240.3171844</v>
      </c>
      <c r="D44" s="22">
        <f t="shared" si="3"/>
        <v>3823505986.8243666</v>
      </c>
      <c r="E44" s="22">
        <f t="shared" si="4"/>
        <v>4948456493.8100023</v>
      </c>
      <c r="F44" s="24">
        <f t="shared" si="0"/>
        <v>-0.11065039173573134</v>
      </c>
      <c r="G44" s="24">
        <f t="shared" si="1"/>
        <v>-0.19678573072287722</v>
      </c>
    </row>
    <row r="45" spans="1:7" x14ac:dyDescent="0.3">
      <c r="A45" s="2">
        <v>43374</v>
      </c>
      <c r="C45">
        <f t="shared" si="2"/>
        <v>4211338130.2113428</v>
      </c>
      <c r="D45" s="22">
        <f t="shared" si="3"/>
        <v>3644380712.4952049</v>
      </c>
      <c r="E45" s="22">
        <f t="shared" si="4"/>
        <v>4778295547.9274807</v>
      </c>
      <c r="F45" s="24">
        <f t="shared" si="0"/>
        <v>6.3149760363428259E-2</v>
      </c>
      <c r="G45" s="24">
        <f t="shared" si="1"/>
        <v>1.1077675778209624E-2</v>
      </c>
    </row>
    <row r="46" spans="1:7" x14ac:dyDescent="0.3">
      <c r="A46" s="2">
        <v>43466</v>
      </c>
      <c r="C46">
        <f t="shared" si="2"/>
        <v>4144189706.205615</v>
      </c>
      <c r="D46" s="22">
        <f t="shared" si="3"/>
        <v>3572655018.248457</v>
      </c>
      <c r="E46" s="22">
        <f t="shared" si="4"/>
        <v>4715724394.1627731</v>
      </c>
      <c r="F46" s="24">
        <f t="shared" si="0"/>
        <v>3.4735714629014182E-2</v>
      </c>
      <c r="G46" s="24">
        <f t="shared" si="1"/>
        <v>2.3850389726443041E-2</v>
      </c>
    </row>
    <row r="47" spans="1:7" x14ac:dyDescent="0.3">
      <c r="A47" s="2">
        <v>43556</v>
      </c>
      <c r="C47">
        <f t="shared" si="2"/>
        <v>4414286740.4049072</v>
      </c>
      <c r="D47" s="22">
        <f t="shared" si="3"/>
        <v>3838211150.2492223</v>
      </c>
      <c r="E47" s="22">
        <f t="shared" si="4"/>
        <v>4990362330.5605927</v>
      </c>
      <c r="F47" s="24">
        <f t="shared" si="0"/>
        <v>7.6499548744131771E-2</v>
      </c>
      <c r="G47" s="24">
        <f t="shared" si="1"/>
        <v>6.9596766966839349E-2</v>
      </c>
    </row>
    <row r="48" spans="1:7" x14ac:dyDescent="0.3">
      <c r="A48" s="2">
        <v>43647</v>
      </c>
      <c r="C48">
        <f t="shared" si="2"/>
        <v>4592941555.0183115</v>
      </c>
      <c r="D48" s="22">
        <f t="shared" si="3"/>
        <v>4012295774.5132356</v>
      </c>
      <c r="E48" s="22">
        <f t="shared" si="4"/>
        <v>5173587335.523387</v>
      </c>
      <c r="F48" s="24">
        <f t="shared" si="0"/>
        <v>4.7186776085289442E-2</v>
      </c>
      <c r="G48" s="24">
        <f t="shared" si="1"/>
        <v>-3.9818480868197198E-2</v>
      </c>
    </row>
    <row r="49" spans="1:7" x14ac:dyDescent="0.3">
      <c r="A49" s="2">
        <v>43739</v>
      </c>
      <c r="C49">
        <f t="shared" si="2"/>
        <v>4446268119.4708605</v>
      </c>
      <c r="D49" s="22">
        <f t="shared" si="3"/>
        <v>3861023085.7405424</v>
      </c>
      <c r="E49" s="22">
        <f t="shared" si="4"/>
        <v>5031513153.2011786</v>
      </c>
      <c r="F49" s="24">
        <f t="shared" si="0"/>
        <v>5.5785116748088781E-2</v>
      </c>
      <c r="G49" s="24">
        <f t="shared" si="1"/>
        <v>-1.5944676473261001E-2</v>
      </c>
    </row>
    <row r="50" spans="1:7" x14ac:dyDescent="0.3">
      <c r="A50" s="2">
        <v>43831</v>
      </c>
      <c r="C50">
        <f t="shared" si="2"/>
        <v>5164402711.841279</v>
      </c>
      <c r="D50" s="22">
        <f t="shared" si="3"/>
        <v>4574529584.5770264</v>
      </c>
      <c r="E50" s="22">
        <f t="shared" si="4"/>
        <v>5754275839.1055317</v>
      </c>
      <c r="F50" s="24">
        <f t="shared" si="0"/>
        <v>0.24617912739563325</v>
      </c>
      <c r="G50" s="24">
        <f t="shared" si="1"/>
        <v>6.5174872133590314E-2</v>
      </c>
    </row>
    <row r="51" spans="1:7" x14ac:dyDescent="0.3">
      <c r="A51" s="2">
        <v>43922</v>
      </c>
      <c r="C51">
        <f t="shared" si="2"/>
        <v>5438780750.9473696</v>
      </c>
      <c r="D51" s="22">
        <f t="shared" si="3"/>
        <v>4844250909.696146</v>
      </c>
      <c r="E51" s="22">
        <f t="shared" si="4"/>
        <v>6033310592.1985931</v>
      </c>
      <c r="F51" s="24">
        <f t="shared" si="0"/>
        <v>0.23208596785638105</v>
      </c>
      <c r="G51" s="24">
        <f t="shared" si="1"/>
        <v>4.0471955067653102E-2</v>
      </c>
    </row>
    <row r="52" spans="1:7" x14ac:dyDescent="0.3">
      <c r="A52" s="2">
        <v>44013</v>
      </c>
      <c r="C52">
        <f t="shared" si="2"/>
        <v>5665882982.9752016</v>
      </c>
      <c r="D52" s="22">
        <f t="shared" si="3"/>
        <v>5066668024.4274216</v>
      </c>
      <c r="E52" s="22">
        <f t="shared" si="4"/>
        <v>6265097941.5229816</v>
      </c>
      <c r="F52" s="24">
        <f t="shared" si="0"/>
        <v>0.23360659287827851</v>
      </c>
      <c r="G52" s="24">
        <f t="shared" si="1"/>
        <v>-3.1934531234605761E-2</v>
      </c>
    </row>
    <row r="53" spans="1:7" x14ac:dyDescent="0.3">
      <c r="A53" s="2">
        <v>44105</v>
      </c>
      <c r="C53">
        <f t="shared" si="2"/>
        <v>4695400154.5213318</v>
      </c>
      <c r="D53" s="22">
        <f t="shared" si="3"/>
        <v>4091471889.8006945</v>
      </c>
      <c r="E53" s="22">
        <f t="shared" si="4"/>
        <v>5299328419.2419691</v>
      </c>
      <c r="F53" s="24">
        <f t="shared" si="0"/>
        <v>5.6031716566863246E-2</v>
      </c>
      <c r="G53" s="24">
        <f t="shared" si="1"/>
        <v>0.16151400974349742</v>
      </c>
    </row>
    <row r="54" spans="1:7" x14ac:dyDescent="0.3">
      <c r="A54" s="2">
        <v>44197</v>
      </c>
      <c r="C54">
        <f t="shared" si="2"/>
        <v>4739280932.3178167</v>
      </c>
      <c r="D54" s="22">
        <f t="shared" si="3"/>
        <v>4130611384.2757592</v>
      </c>
      <c r="E54" s="22">
        <f t="shared" si="4"/>
        <v>5347950480.3598738</v>
      </c>
      <c r="F54" s="24">
        <f t="shared" si="0"/>
        <v>-8.2317705114032913E-2</v>
      </c>
      <c r="G54" s="24">
        <f t="shared" si="1"/>
        <v>5.3128707115922373E-2</v>
      </c>
    </row>
    <row r="55" spans="1:7" x14ac:dyDescent="0.3">
      <c r="A55" s="2">
        <v>44287</v>
      </c>
      <c r="C55">
        <f t="shared" si="2"/>
        <v>4834803429.7013674</v>
      </c>
      <c r="D55" s="22">
        <f t="shared" si="3"/>
        <v>4221364830.2185211</v>
      </c>
      <c r="E55" s="22">
        <f t="shared" si="4"/>
        <v>5448242029.1842136</v>
      </c>
      <c r="F55" s="24">
        <f t="shared" si="0"/>
        <v>-0.11105013217177337</v>
      </c>
      <c r="G55" s="24">
        <f t="shared" si="1"/>
        <v>4.1756092482358953E-2</v>
      </c>
    </row>
    <row r="56" spans="1:7" x14ac:dyDescent="0.3">
      <c r="A56" s="2">
        <v>44378</v>
      </c>
      <c r="C56">
        <f t="shared" si="2"/>
        <v>5120191459.7801342</v>
      </c>
      <c r="D56" s="22">
        <f t="shared" si="3"/>
        <v>4501956247.077014</v>
      </c>
      <c r="E56" s="22">
        <f t="shared" si="4"/>
        <v>5738426672.4832544</v>
      </c>
      <c r="F56" s="24">
        <f t="shared" si="0"/>
        <v>-9.6311823741287425E-2</v>
      </c>
      <c r="G56" s="24">
        <f t="shared" si="1"/>
        <v>-0.17128536388237608</v>
      </c>
    </row>
    <row r="57" spans="1:7" x14ac:dyDescent="0.3">
      <c r="A57" s="2">
        <v>44470</v>
      </c>
      <c r="C57">
        <f t="shared" si="2"/>
        <v>4945548349.6742926</v>
      </c>
      <c r="D57" s="22">
        <f t="shared" si="3"/>
        <v>4322489165.6332884</v>
      </c>
      <c r="E57" s="22">
        <f t="shared" si="4"/>
        <v>5568607533.7152967</v>
      </c>
      <c r="F57" s="24">
        <f t="shared" si="0"/>
        <v>5.3275160139884162E-2</v>
      </c>
      <c r="G57" s="24">
        <f t="shared" si="1"/>
        <v>9.3454820361222931E-3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0338-44BB-41A7-B296-0F0B0D38A30E}">
  <dimension ref="B2:F5"/>
  <sheetViews>
    <sheetView showGridLines="0" showRowColHeaders="0" tabSelected="1" zoomScale="80" zoomScaleNormal="80" workbookViewId="0">
      <selection activeCell="I40" sqref="I40"/>
    </sheetView>
  </sheetViews>
  <sheetFormatPr defaultRowHeight="14.4" x14ac:dyDescent="0.3"/>
  <cols>
    <col min="2" max="2" width="22.5546875" customWidth="1"/>
    <col min="4" max="4" width="27.33203125" bestFit="1" customWidth="1"/>
    <col min="6" max="6" width="25.5546875" bestFit="1" customWidth="1"/>
  </cols>
  <sheetData>
    <row r="2" spans="2:6" ht="25.8" x14ac:dyDescent="0.5">
      <c r="B2" s="26" t="s">
        <v>51</v>
      </c>
    </row>
    <row r="4" spans="2:6" x14ac:dyDescent="0.3">
      <c r="B4" s="31" t="s">
        <v>52</v>
      </c>
      <c r="D4" s="31" t="s">
        <v>53</v>
      </c>
      <c r="F4" s="31" t="s">
        <v>54</v>
      </c>
    </row>
    <row r="5" spans="2:6" ht="23.4" x14ac:dyDescent="0.45">
      <c r="B5" s="32" cm="1">
        <f t="array" ref="B5">LOOKUP(2,1/('Forecast sale'!D:D&lt;&gt;""),'Forecast sale'!D:D)</f>
        <v>4322489165.6332884</v>
      </c>
      <c r="D5" s="33">
        <v>6.2E-2</v>
      </c>
      <c r="F5" s="34" cm="1">
        <f t="array" ref="F5">LOOKUP(2,1/('Forecast sale'!C:C&lt;&gt;""),'Forecast sale'!C:C)</f>
        <v>4945548349.6742926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26C283-EE34-4F85-860B-364CF1B0E2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colorado_motor_vehicle_sales </vt:lpstr>
      <vt:lpstr>Analysis</vt:lpstr>
      <vt:lpstr>Forecast sale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2025-11-28T15:40:30Z</dcterms:created>
  <dcterms:modified xsi:type="dcterms:W3CDTF">2026-02-23T15:59:47Z</dcterms:modified>
</cp:coreProperties>
</file>